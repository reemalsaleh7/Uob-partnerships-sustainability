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809975e83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c2174f609d4cb2"/>
    <x:sheet xmlns:r="http://schemas.openxmlformats.org/officeDocument/2006/relationships" name="UAT Cases" sheetId="2" r:id="R0d6f33abfca44500"/>
    <x:sheet xmlns:r="http://schemas.openxmlformats.org/officeDocument/2006/relationships" name="Defects" sheetId="3" r:id="R6a2b92435b26496e"/>
    <x:sheet xmlns:r="http://schemas.openxmlformats.org/officeDocument/2006/relationships" name="Release Checklist" sheetId="4" r:id="Rbdb3d3ceb45c4209"/>
    <x:sheet xmlns:r="http://schemas.openxmlformats.org/officeDocument/2006/relationships" name="Sign-off" sheetId="5" r:id="Rad18111c14b54b3d"/>
    <x:sheet xmlns:r="http://schemas.openxmlformats.org/officeDocument/2006/relationships" name="Environment &amp; Accounts" sheetId="6" r:id="Rc7ea2fd1c417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B1026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b/>
      <x:sz val="11"/>
      <x:color rgb="FF4B1026"/>
      <x:name val="Carlito"/>
    </x:font>
    <x:font>
      <x:b/>
      <x:sz val="10"/>
      <x:color rgb="FFFFFFFF"/>
      <x:name val="Aptos"/>
    </x:font>
    <x:font>
      <x:i/>
      <x:sz val="10"/>
      <x:color rgb="FF4B1026"/>
      <x:name val="Aptos"/>
    </x:font>
    <x:font>
      <x:sz val="10"/>
      <x:name val="Aptos"/>
    </x:font>
    <x:font>
      <x:b/>
      <x:sz val="10"/>
      <x:color rgb="FF334155"/>
      <x:name val="Aptos"/>
    </x:font>
    <x:font>
      <x:b/>
      <x:sz val="10"/>
      <x:color rgb="FF4B1026"/>
      <x:name val="Aptos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B1026"/>
      </x:patternFill>
    </x:fill>
    <x:fill>
      <x:patternFill patternType="solid">
        <x:fgColor rgb="FFFFF8E7"/>
      </x:patternFill>
    </x:fill>
    <x:fill>
      <x:patternFill patternType="solid">
        <x:fgColor rgb="FF7A1F3D"/>
      </x:patternFill>
    </x:fill>
    <x:fill>
      <x:patternFill patternType="solid">
        <x:fgColor rgb="FFF8FAFC"/>
      </x:patternFill>
    </x:fill>
    <x:fill>
      <x:patternFill patternType="solid">
        <x:fgColor rgb="FFD4A72C"/>
      </x:patternFill>
    </x:fill>
    <x:fill>
      <x:patternFill patternType="solid">
        <x:fgColor rgb="FFFEF3C7"/>
      </x:patternFill>
    </x:fill>
  </x:fills>
  <x:borders count="13">
    <x:border/>
    <x:border>
      <x:left style="thin">
        <x:color rgb="FF4B1026"/>
      </x:left>
      <x:top style="thin">
        <x:color rgb="FF4B1026"/>
      </x:top>
      <x:bottom style="thin">
        <x:color rgb="FF4B1026"/>
      </x:bottom>
    </x:border>
    <x:border>
      <x:right style="thin">
        <x:color rgb="FF4B1026"/>
      </x:right>
      <x:top style="thin">
        <x:color rgb="FF4B1026"/>
      </x:top>
      <x:bottom style="thin">
        <x:color rgb="FF4B1026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4B1026"/>
      </x:top>
      <x:bottom style="thin">
        <x:color rgb="FF4B1026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horizontal="center" vertical="center"/>
    </x:xf>
    <x:xf numFmtId="0" fontId="9" fillId="5" borderId="3" xfId="0" applyNumberFormat="1" applyFont="1" applyFill="1" applyBorder="1"/>
    <x:xf numFmtId="0" fontId="8" fillId="0" borderId="4" xfId="0" applyNumberFormat="1" applyFont="1" applyFill="1" applyBorder="1"/>
    <x:xf numFmtId="0" fontId="9" fillId="5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/>
    <x:xf numFmtId="0" fontId="8" fillId="0" borderId="6" xfId="0" applyNumberFormat="1" applyFont="1" applyFill="1" applyBorder="1"/>
    <x:xf numFmtId="201" fontId="8" fillId="0" borderId="6" xfId="0" applyNumberFormat="1" applyFont="1" applyFill="1" applyBorder="1"/>
    <x:xf numFmtId="200" fontId="10" fillId="0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/>
    <x:xf numFmtId="201" fontId="8" fillId="0" borderId="8" xfId="0" applyNumberFormat="1" applyFont="1" applyFill="1" applyBorder="1"/>
    <x:xf numFmtId="0" fontId="9" fillId="5" borderId="7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horizontal="center" vertical="center"/>
    </x:xf>
    <x:xf numFmtId="0" fontId="9" fillId="5" borderId="3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horizontal="center"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0" fontId="0" fillId="5" borderId="12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0" fontId="3" fillId="4" borderId="7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FF8E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FF8E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fe62212c64c95" /><Relationship Type="http://schemas.openxmlformats.org/officeDocument/2006/relationships/theme" Target="/xl/theme/theme1.xml" Id="R033b9240c8a44359" /><Relationship Type="http://schemas.openxmlformats.org/officeDocument/2006/relationships/sharedStrings" Target="/xl/sharedStrings.xml" Id="R2fa0594231c04938" /><Relationship Type="http://schemas.openxmlformats.org/officeDocument/2006/relationships/worksheet" Target="/xl/worksheets/sheet1.xml" Id="Ra4c2174f609d4cb2" /><Relationship Type="http://schemas.openxmlformats.org/officeDocument/2006/relationships/worksheet" Target="/xl/worksheets/sheet2.xml" Id="R0d6f33abfca44500" /><Relationship Type="http://schemas.openxmlformats.org/officeDocument/2006/relationships/worksheet" Target="/xl/worksheets/sheet3.xml" Id="R6a2b92435b26496e" /><Relationship Type="http://schemas.openxmlformats.org/officeDocument/2006/relationships/worksheet" Target="/xl/worksheets/sheet4.xml" Id="Rbdb3d3ceb45c4209" /><Relationship Type="http://schemas.openxmlformats.org/officeDocument/2006/relationships/worksheet" Target="/xl/worksheets/sheet5.xml" Id="Rad18111c14b54b3d" /><Relationship Type="http://schemas.openxmlformats.org/officeDocument/2006/relationships/worksheet" Target="/xl/worksheets/sheet6.xml" Id="Rc7ea2fd1c417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3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71" t="str">
        <x:v>UOB Agreement UAT &amp; Release Dashboard</x:v>
      </x:c>
      <x:c r="B1" s="71" t="str">
        <x:v>UOB Agreement UAT &amp; Release Dashboard</x:v>
      </x:c>
      <x:c r="C1" s="71" t="str">
        <x:v>UOB Agreement UAT &amp; Release Dashboard</x:v>
      </x:c>
      <x:c r="D1" s="71" t="str">
        <x:v>UOB Agreement UAT &amp; Release Dashboard</x:v>
      </x:c>
      <x:c r="E1" s="71" t="str">
        <x:v>UOB Agreement UAT &amp; Release Dashboard</x:v>
      </x:c>
      <x:c r="F1" s="71" t="str">
        <x:v>UOB Agreement UAT &amp; Release Dashboard</x:v>
      </x:c>
      <x:c r="G1" s="71" t="str">
        <x:v>UOB Agreement UAT &amp; Release Dashboard</x:v>
      </x:c>
      <x:c r="H1" s="71" t="str">
        <x:v>UOB Agreement UAT &amp; Release Dashboard</x:v>
      </x:c>
    </x:row>
    <x:row r="2" ht="30" customHeight="1">
      <x:c r="A2" s="71" t="str">
        <x:v>UOB Agreement UAT &amp; Release Dashboard</x:v>
      </x:c>
      <x:c r="B2" s="71" t="str">
        <x:v>UOB Agreement UAT &amp; Release Dashboard</x:v>
      </x:c>
      <x:c r="C2" s="71" t="str">
        <x:v>UOB Agreement UAT &amp; Release Dashboard</x:v>
      </x:c>
      <x:c r="D2" s="71" t="str">
        <x:v>UOB Agreement UAT &amp; Release Dashboard</x:v>
      </x:c>
      <x:c r="E2" s="71" t="str">
        <x:v>UOB Agreement UAT &amp; Release Dashboard</x:v>
      </x:c>
      <x:c r="F2" s="71" t="str">
        <x:v>UOB Agreement UAT &amp; Release Dashboard</x:v>
      </x:c>
      <x:c r="G2" s="71" t="str">
        <x:v>UOB Agreement UAT &amp; Release Dashboard</x:v>
      </x:c>
      <x:c r="H2" s="71" t="str">
        <x:v>UOB Agreement UAT &amp; Release Dashboard</x:v>
      </x:c>
    </x:row>
    <x:row r="3">
      <x:c r="A3" s="72" t="str">
        <x:v>Release gate: all required UAT cases pass, no open Critical/High defects, and every required release checkpoint is complete.</x:v>
      </x:c>
      <x:c r="B3" s="72" t="str">
        <x:v>Release gate: all required UAT cases pass, no open Critical/High defects, and every required release checkpoint is complete.</x:v>
      </x:c>
      <x:c r="C3" s="72" t="str">
        <x:v>Release gate: all required UAT cases pass, no open Critical/High defects, and every required release checkpoint is complete.</x:v>
      </x:c>
      <x:c r="D3" s="72" t="str">
        <x:v>Release gate: all required UAT cases pass, no open Critical/High defects, and every required release checkpoint is complete.</x:v>
      </x:c>
      <x:c r="E3" s="72" t="str">
        <x:v>Release gate: all required UAT cases pass, no open Critical/High defects, and every required release checkpoint is complete.</x:v>
      </x:c>
      <x:c r="F3" s="72" t="str">
        <x:v>Release gate: all required UAT cases pass, no open Critical/High defects, and every required release checkpoint is complete.</x:v>
      </x:c>
      <x:c r="G3" s="72" t="str">
        <x:v>Release gate: all required UAT cases pass, no open Critical/High defects, and every required release checkpoint is complete.</x:v>
      </x:c>
      <x:c r="H3" s="72" t="str">
        <x:v>Release gate: all required UAT cases pass, no open Critical/High defects, and every required release checkpoint is complete.</x:v>
      </x:c>
    </x:row>
    <x:row r="4">
      <x:c r="A4" s="73"/>
      <x:c r="B4" s="73"/>
      <x:c r="C4" s="73"/>
      <x:c r="D4" s="73"/>
      <x:c r="E4" s="73"/>
      <x:c r="F4" s="73"/>
      <x:c r="G4" s="73"/>
      <x:c r="H4" s="73"/>
    </x:row>
    <x:row r="5" ht="30" customHeight="1">
      <x:c r="A5" s="74" t="str">
        <x:v>UAT metric</x:v>
      </x:c>
      <x:c r="B5" s="75" t="str">
        <x:v>Result</x:v>
      </x:c>
      <x:c r="C5" s="73"/>
      <x:c r="D5" s="74" t="str">
        <x:v>Release candidate identification</x:v>
      </x:c>
      <x:c r="E5" s="76" t="str">
        <x:v>Release candidate identification</x:v>
      </x:c>
      <x:c r="F5" s="76" t="str">
        <x:v>Release candidate identification</x:v>
      </x:c>
      <x:c r="G5" s="76" t="str">
        <x:v>Release candidate identification</x:v>
      </x:c>
      <x:c r="H5" s="75" t="str">
        <x:v>Release candidate identification</x:v>
      </x:c>
    </x:row>
    <x:row r="6">
      <x:c r="A6" s="77" t="str">
        <x:v>Total UAT cases</x:v>
      </x:c>
      <x:c r="B6" s="78" t="n">
        <x:f>COUNTA('UAT Cases'!$A$6:$A$105)</x:f>
        <x:v>36</x:v>
      </x:c>
      <x:c r="C6" s="73"/>
      <x:c r="D6" s="79" t="str">
        <x:v>Release name/version</x:v>
      </x:c>
      <x:c r="E6" s="80" t="str"/>
      <x:c r="F6" s="73"/>
      <x:c r="G6" s="73"/>
      <x:c r="H6" s="73"/>
    </x:row>
    <x:row r="7">
      <x:c r="A7" s="81" t="str">
        <x:v>Required P0/P1 cases</x:v>
      </x:c>
      <x:c r="B7" s="82" t="n">
        <x:f>COUNTIFS('UAT Cases'!$A$6:$A$105,"&lt;&gt;",'UAT Cases'!$C$6:$C$105,"&lt;&gt;P2")</x:f>
        <x:v>36</x:v>
      </x:c>
      <x:c r="C7" s="73"/>
      <x:c r="D7" s="83" t="str">
        <x:v>Git commit</x:v>
      </x:c>
      <x:c r="E7" s="84" t="str"/>
      <x:c r="F7" s="73"/>
      <x:c r="G7" s="73"/>
      <x:c r="H7" s="73"/>
    </x:row>
    <x:row r="8">
      <x:c r="A8" s="81" t="str">
        <x:v>Required cases passed</x:v>
      </x:c>
      <x:c r="B8" s="82" t="n">
        <x:f>COUNTIFS('UAT Cases'!$A$6:$A$105,"&lt;&gt;",'UAT Cases'!$C$6:$C$105,"&lt;&gt;P2",'UAT Cases'!$I$6:$I$105,"Passed")</x:f>
        <x:v>0</x:v>
      </x:c>
      <x:c r="C8" s="73"/>
      <x:c r="D8" s="83" t="str">
        <x:v>Git tag</x:v>
      </x:c>
      <x:c r="E8" s="84" t="str"/>
      <x:c r="F8" s="73"/>
      <x:c r="G8" s="73"/>
      <x:c r="H8" s="73"/>
    </x:row>
    <x:row r="9">
      <x:c r="A9" s="81" t="str">
        <x:v>Failed cases</x:v>
      </x:c>
      <x:c r="B9" s="82" t="n">
        <x:f>COUNTIF('UAT Cases'!$I$6:$I$105,"Failed")</x:f>
        <x:v>0</x:v>
      </x:c>
      <x:c r="C9" s="73"/>
      <x:c r="D9" s="83" t="str">
        <x:v>UAT environment</x:v>
      </x:c>
      <x:c r="E9" s="84" t="str"/>
      <x:c r="F9" s="73"/>
      <x:c r="G9" s="73"/>
      <x:c r="H9" s="73"/>
    </x:row>
    <x:row r="10">
      <x:c r="A10" s="81" t="str">
        <x:v>Blocked cases</x:v>
      </x:c>
      <x:c r="B10" s="82" t="n">
        <x:f>COUNTIF('UAT Cases'!$I$6:$I$105,"Blocked")</x:f>
        <x:v>0</x:v>
      </x:c>
      <x:c r="C10" s="73"/>
      <x:c r="D10" s="83" t="str">
        <x:v>UAT start</x:v>
      </x:c>
      <x:c r="E10" s="85"/>
      <x:c r="F10" s="73"/>
      <x:c r="G10" s="73"/>
      <x:c r="H10" s="73"/>
    </x:row>
    <x:row r="11">
      <x:c r="A11" s="81" t="str">
        <x:v>Executed cases</x:v>
      </x:c>
      <x:c r="B11" s="82" t="n">
        <x:f>COUNTIF('UAT Cases'!$I$6:$I$105,"Passed")+COUNTIF('UAT Cases'!$I$6:$I$105,"Failed")+COUNTIF('UAT Cases'!$I$6:$I$105,"Blocked")+COUNTIF('UAT Cases'!$I$6:$I$105,"Deferred")</x:f>
        <x:v>0</x:v>
      </x:c>
      <x:c r="C11" s="73"/>
      <x:c r="D11" s="83" t="str">
        <x:v>UAT end</x:v>
      </x:c>
      <x:c r="E11" s="85"/>
      <x:c r="F11" s="73"/>
      <x:c r="G11" s="73"/>
      <x:c r="H11" s="73"/>
    </x:row>
    <x:row r="12">
      <x:c r="A12" s="81" t="str">
        <x:v>Completion</x:v>
      </x:c>
      <x:c r="B12" s="86" t="n">
        <x:f>IF(B6=0,0,B11/B6)</x:f>
        <x:v>0</x:v>
      </x:c>
      <x:c r="C12" s="73"/>
      <x:c r="D12" s="87" t="str">
        <x:v>Planned production window</x:v>
      </x:c>
      <x:c r="E12" s="88"/>
      <x:c r="F12" s="73"/>
      <x:c r="G12" s="73"/>
      <x:c r="H12" s="73"/>
    </x:row>
    <x:row r="13">
      <x:c r="A13" s="81" t="str">
        <x:v>Open Critical defects</x:v>
      </x:c>
      <x:c r="B13" s="82" t="n">
        <x:f>COUNTIFS('Defects'!$D$6:$D$105,"Critical",'Defects'!$E$6:$E$105,"&lt;&gt;Closed",'Defects'!$A$6:$A$105,"&lt;&gt;")</x:f>
        <x:v>0</x:v>
      </x:c>
      <x:c r="C13" s="73"/>
      <x:c r="D13" s="73"/>
      <x:c r="E13" s="73"/>
      <x:c r="F13" s="73"/>
      <x:c r="G13" s="73"/>
      <x:c r="H13" s="73"/>
    </x:row>
    <x:row r="14" ht="30" customHeight="1">
      <x:c r="A14" s="81" t="str">
        <x:v>Open High defects</x:v>
      </x:c>
      <x:c r="B14" s="82" t="n">
        <x:f>COUNTIFS('Defects'!$D$6:$D$105,"High",'Defects'!$E$6:$E$105,"&lt;&gt;Closed",'Defects'!$A$6:$A$105,"&lt;&gt;")</x:f>
        <x:v>0</x:v>
      </x:c>
      <x:c r="C14" s="73"/>
      <x:c r="D14" s="74" t="str">
        <x:v>Scope boundary</x:v>
      </x:c>
      <x:c r="E14" s="76" t="str">
        <x:v>Scope boundary</x:v>
      </x:c>
      <x:c r="F14" s="76" t="str">
        <x:v>Scope boundary</x:v>
      </x:c>
      <x:c r="G14" s="76" t="str">
        <x:v>Scope boundary</x:v>
      </x:c>
      <x:c r="H14" s="75" t="str">
        <x:v>Scope boundary</x:v>
      </x:c>
    </x:row>
    <x:row r="15">
      <x:c r="A15" s="89" t="str">
        <x:v>Release gate</x:v>
      </x:c>
      <x:c r="B15" s="90" t="str">
        <x:f>IF(AND(B8=B7,B9=0,B10=0,B13=0,B14=0,COUNTIF('Release Checklist'!$F$6:$F$105,"Complete")=COUNTA('Release Checklist'!$A$6:$A$105)),"READY FOR SIGN-OFF","NOT READY")</x:f>
        <x:v>NOT READY</x:v>
      </x:c>
      <x:c r="C15" s="73"/>
      <x:c r="D15" s="91" t="str">
        <x:v>Included</x:v>
      </x:c>
      <x:c r="E15" s="92" t="str">
        <x:v>Agreement module: approval, lifecycle, signing/status, performance, public catalogue</x:v>
      </x:c>
      <x:c r="F15" s="92" t="str"/>
      <x:c r="G15" s="92" t="str"/>
      <x:c r="H15" s="93" t="str"/>
    </x:row>
    <x:row r="16">
      <x:c r="A16" s="73"/>
      <x:c r="B16" s="73"/>
      <x:c r="C16" s="73"/>
      <x:c r="D16" s="94" t="str">
        <x:v>Excluded</x:v>
      </x:c>
      <x:c r="E16" s="95" t="str">
        <x:v>Initiative module</x:v>
      </x:c>
      <x:c r="F16" s="95" t="str"/>
      <x:c r="G16" s="95" t="str"/>
      <x:c r="H16" s="96" t="str"/>
    </x:row>
    <x:row r="17">
      <x:c r="A17" s="73"/>
      <x:c r="B17" s="73"/>
      <x:c r="C17" s="73"/>
      <x:c r="D17" s="94" t="str">
        <x:v>Excluded</x:v>
      </x:c>
      <x:c r="E17" s="95" t="str">
        <x:v>Notification and escalation module</x:v>
      </x:c>
      <x:c r="F17" s="95" t="str"/>
      <x:c r="G17" s="95" t="str"/>
      <x:c r="H17" s="96" t="str"/>
    </x:row>
    <x:row r="18">
      <x:c r="A18" s="73"/>
      <x:c r="B18" s="73"/>
      <x:c r="C18" s="73"/>
      <x:c r="D18" s="97" t="str">
        <x:v>Retained</x:v>
      </x:c>
      <x:c r="E18" s="98" t="str">
        <x:v>Legacy Agreement compatibility boundary until Initiative relationship migration</x:v>
      </x:c>
      <x:c r="F18" s="98" t="str"/>
      <x:c r="G18" s="98" t="str"/>
      <x:c r="H18" s="99" t="str"/>
    </x:row>
    <x:row r="19">
      <x:c r="A19" s="73"/>
      <x:c r="B19" s="73"/>
      <x:c r="C19" s="73"/>
      <x:c r="D19" s="73"/>
      <x:c r="E19" s="73"/>
      <x:c r="F19" s="73"/>
      <x:c r="G19" s="73"/>
      <x:c r="H19" s="73"/>
    </x:row>
    <x:row r="20">
      <x:c r="A20" s="100" t="str">
        <x:v>Start on UAT only after the full automated suite reports 28 passed and 0 failed on the exact candidate commit.</x:v>
      </x:c>
      <x:c r="B20" s="100" t="str">
        <x:v>Start on UAT only after the full automated suite reports 28 passed and 0 failed on the exact candidate commit.</x:v>
      </x:c>
      <x:c r="C20" s="100" t="str">
        <x:v>Start on UAT only after the full automated suite reports 28 passed and 0 failed on the exact candidate commit.</x:v>
      </x:c>
      <x:c r="D20" s="100" t="str">
        <x:v>Start on UAT only after the full automated suite reports 28 passed and 0 failed on the exact candidate commit.</x:v>
      </x:c>
      <x:c r="E20" s="100" t="str">
        <x:v>Start on UAT only after the full automated suite reports 28 passed and 0 failed on the exact candidate commit.</x:v>
      </x:c>
      <x:c r="F20" s="100" t="str">
        <x:v>Start on UAT only after the full automated suite reports 28 passed and 0 failed on the exact candidate commit.</x:v>
      </x:c>
      <x:c r="G20" s="100" t="str">
        <x:v>Start on UAT only after the full automated suite reports 28 passed and 0 failed on the exact candidate commit.</x:v>
      </x:c>
      <x:c r="H20" s="100" t="str">
        <x:v>Start on UAT only after the full automated suite reports 28 passed and 0 failed on the exact candidate commit.</x:v>
      </x:c>
    </x:row>
  </x:sheetData>
  <x:mergeCells>
    <x:mergeCell ref="A1:H2"/>
    <x:mergeCell ref="A3:H3"/>
    <x:mergeCell ref="D5:H5"/>
    <x:mergeCell ref="D14:H14"/>
    <x:mergeCell ref="E15:H15"/>
    <x:mergeCell ref="E16:H16"/>
    <x:mergeCell ref="E17:H17"/>
    <x:mergeCell ref="E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4" hidden="0" customWidth="1"/>
    <x:col min="10" max="10" width="13" hidden="0" customWidth="1"/>
    <x:col min="11" max="11" width="24" hidden="0" customWidth="1"/>
    <x:col min="12" max="12" width="18" hidden="0" customWidth="1"/>
    <x:col min="13" max="13" width="14" hidden="0" customWidth="1"/>
    <x:col min="14" max="14" width="24" hidden="0" customWidth="1"/>
  </x:cols>
  <x:sheetData>
    <x:row r="1" ht="30" customHeight="1">
      <x:c r="A1" s="4" t="str">
        <x:v>Agreement User-Acceptance Test Cases</x:v>
      </x:c>
      <x:c r="B1" s="4" t="str">
        <x:v>Agreement User-Acceptance Test Cases</x:v>
      </x:c>
      <x:c r="C1" s="4" t="str">
        <x:v>Agreement User-Acceptance Test Cases</x:v>
      </x:c>
      <x:c r="D1" s="4" t="str">
        <x:v>Agreement User-Acceptance Test Cases</x:v>
      </x:c>
      <x:c r="E1" s="4" t="str">
        <x:v>Agreement User-Acceptance Test Cases</x:v>
      </x:c>
      <x:c r="F1" s="4" t="str">
        <x:v>Agreement User-Acceptance Test Cases</x:v>
      </x:c>
      <x:c r="G1" s="4" t="str">
        <x:v>Agreement User-Acceptance Test Cases</x:v>
      </x:c>
      <x:c r="H1" s="4" t="str">
        <x:v>Agreement User-Acceptance Test Cases</x:v>
      </x:c>
      <x:c r="I1" s="4" t="str">
        <x:v>Agreement User-Acceptance Test Cases</x:v>
      </x:c>
      <x:c r="J1" s="4" t="str">
        <x:v>Agreement User-Acceptance Test Cases</x:v>
      </x:c>
      <x:c r="K1" s="4" t="str">
        <x:v>Agreement User-Acceptance Test Cases</x:v>
      </x:c>
      <x:c r="L1" s="4" t="str">
        <x:v>Agreement User-Acceptance Test Cases</x:v>
      </x:c>
      <x:c r="M1" s="4" t="str">
        <x:v>Agreement User-Acceptance Test Cases</x:v>
      </x:c>
      <x:c r="N1" s="4" t="str">
        <x:v>Agreement User-Acceptance Test Cases</x:v>
      </x:c>
    </x:row>
    <x:row r="2" ht="30" customHeight="1">
      <x:c r="A2" s="4" t="str">
        <x:v>Agreement User-Acceptance Test Cases</x:v>
      </x:c>
      <x:c r="B2" s="4" t="str">
        <x:v>Agreement User-Acceptance Test Cases</x:v>
      </x:c>
      <x:c r="C2" s="4" t="str">
        <x:v>Agreement User-Acceptance Test Cases</x:v>
      </x:c>
      <x:c r="D2" s="4" t="str">
        <x:v>Agreement User-Acceptance Test Cases</x:v>
      </x:c>
      <x:c r="E2" s="4" t="str">
        <x:v>Agreement User-Acceptance Test Cases</x:v>
      </x:c>
      <x:c r="F2" s="4" t="str">
        <x:v>Agreement User-Acceptance Test Cases</x:v>
      </x:c>
      <x:c r="G2" s="4" t="str">
        <x:v>Agreement User-Acceptance Test Cases</x:v>
      </x:c>
      <x:c r="H2" s="4" t="str">
        <x:v>Agreement User-Acceptance Test Cases</x:v>
      </x:c>
      <x:c r="I2" s="4" t="str">
        <x:v>Agreement User-Acceptance Test Cases</x:v>
      </x:c>
      <x:c r="J2" s="4" t="str">
        <x:v>Agreement User-Acceptance Test Cases</x:v>
      </x:c>
      <x:c r="K2" s="4" t="str">
        <x:v>Agreement User-Acceptance Test Cases</x:v>
      </x:c>
      <x:c r="L2" s="4" t="str">
        <x:v>Agreement User-Acceptance Test Cases</x:v>
      </x:c>
      <x:c r="M2" s="4" t="str">
        <x:v>Agreement User-Acceptance Test Cases</x:v>
      </x:c>
      <x:c r="N2" s="4" t="str">
        <x:v>Agreement User-Acceptance Test Cases</x:v>
      </x:c>
    </x:row>
    <x:row r="3">
      <x:c r="A3" s="7" t="str">
        <x:v>Complete Actual Result, Status, Evidence, Tester, and Test Date. Link every failure to a Defect ID.</x:v>
      </x:c>
      <x:c r="B3" s="7" t="str">
        <x:v>Complete Actual Result, Status, Evidence, Tester, and Test Date. Link every failure to a Defect ID.</x:v>
      </x:c>
      <x:c r="C3" s="7" t="str">
        <x:v>Complete Actual Result, Status, Evidence, Tester, and Test Date. Link every failure to a Defect ID.</x:v>
      </x:c>
      <x:c r="D3" s="7" t="str">
        <x:v>Complete Actual Result, Status, Evidence, Tester, and Test Date. Link every failure to a Defect ID.</x:v>
      </x:c>
      <x:c r="E3" s="7" t="str">
        <x:v>Complete Actual Result, Status, Evidence, Tester, and Test Date. Link every failure to a Defect ID.</x:v>
      </x:c>
      <x:c r="F3" s="7" t="str">
        <x:v>Complete Actual Result, Status, Evidence, Tester, and Test Date. Link every failure to a Defect ID.</x:v>
      </x:c>
      <x:c r="G3" s="7" t="str">
        <x:v>Complete Actual Result, Status, Evidence, Tester, and Test Date. Link every failure to a Defect ID.</x:v>
      </x:c>
      <x:c r="H3" s="7" t="str">
        <x:v>Complete Actual Result, Status, Evidence, Tester, and Test Date. Link every failure to a Defect ID.</x:v>
      </x:c>
      <x:c r="I3" s="7" t="str">
        <x:v>Complete Actual Result, Status, Evidence, Tester, and Test Date. Link every failure to a Defect ID.</x:v>
      </x:c>
      <x:c r="J3" s="7" t="str">
        <x:v>Complete Actual Result, Status, Evidence, Tester, and Test Date. Link every failure to a Defect ID.</x:v>
      </x:c>
      <x:c r="K3" s="7" t="str">
        <x:v>Complete Actual Result, Status, Evidence, Tester, and Test Date. Link every failure to a Defect ID.</x:v>
      </x:c>
      <x:c r="L3" s="7" t="str">
        <x:v>Complete Actual Result, Status, Evidence, Tester, and Test Date. Link every failure to a Defect ID.</x:v>
      </x:c>
      <x:c r="M3" s="7" t="str">
        <x:v>Complete Actual Result, Status, Evidence, Tester, and Test Date. Link every failure to a Defect ID.</x:v>
      </x:c>
      <x:c r="N3" s="7" t="str">
        <x:v>Complete Actual Result, Status, Evidence, Tester, and Test Date. Link every failure to a Defect ID.</x:v>
      </x:c>
    </x:row>
    <x:row r="5" ht="30" customHeight="1">
      <x:c r="A5" s="14" t="str">
        <x:v>Test ID</x:v>
      </x:c>
      <x:c r="B5" s="47" t="str">
        <x:v>Area</x:v>
      </x:c>
      <x:c r="C5" s="47" t="str">
        <x:v>Priority</x:v>
      </x:c>
      <x:c r="D5" s="47" t="str">
        <x:v>Role</x:v>
      </x:c>
      <x:c r="E5" s="47" t="str">
        <x:v>Preconditions</x:v>
      </x:c>
      <x:c r="F5" s="47" t="str">
        <x:v>Test steps</x:v>
      </x:c>
      <x:c r="G5" s="47" t="str">
        <x:v>Expected result</x:v>
      </x:c>
      <x:c r="H5" s="47" t="str">
        <x:v>Actual result</x:v>
      </x:c>
      <x:c r="I5" s="47" t="str">
        <x:v>Status</x:v>
      </x:c>
      <x:c r="J5" s="47" t="str">
        <x:v>Defect ID</x:v>
      </x:c>
      <x:c r="K5" s="47" t="str">
        <x:v>Evidence reference</x:v>
      </x:c>
      <x:c r="L5" s="47" t="str">
        <x:v>Tester</x:v>
      </x:c>
      <x:c r="M5" s="47" t="str">
        <x:v>Test date</x:v>
      </x:c>
      <x:c r="N5" s="15" t="str">
        <x:v>Notes</x:v>
      </x:c>
    </x:row>
    <x:row r="6" ht="72" customHeight="1">
      <x:c r="A6" s="119" t="str">
        <x:v>UAT-001</x:v>
      </x:c>
      <x:c r="B6" s="114" t="str">
        <x:v>Access &amp; sessions</x:v>
      </x:c>
      <x:c r="C6" s="122" t="str">
        <x:v>P0</x:v>
      </x:c>
      <x:c r="D6" s="114" t="str">
        <x:v>All roles</x:v>
      </x:c>
      <x:c r="E6" s="105" t="str">
        <x:v>UAT accounts are active; use separate browser profiles or isolated tabs.</x:v>
      </x:c>
      <x:c r="F6" s="105" t="str">
        <x:v>Sign in as Dean and VP in separate contexts; switch repeatedly; refresh both registers and detail pages.</x:v>
      </x:c>
      <x:c r="G6" s="105" t="str">
        <x:v>Each context keeps its own identity. No cached draft, document, or task from the other actor appears.</x:v>
      </x:c>
      <x:c r="H6" s="105" t="str"/>
      <x:c r="I6" s="125" t="str">
        <x:v>Not Run</x:v>
      </x:c>
      <x:c r="J6" s="105" t="str"/>
      <x:c r="K6" s="105" t="str"/>
      <x:c r="L6" s="105" t="str"/>
      <x:c r="M6" s="128"/>
      <x:c r="N6" s="106" t="str"/>
    </x:row>
    <x:row r="7" ht="72" customHeight="1">
      <x:c r="A7" s="120" t="str">
        <x:v>UAT-002</x:v>
      </x:c>
      <x:c r="B7" s="116" t="str">
        <x:v>Access &amp; sessions</x:v>
      </x:c>
      <x:c r="C7" s="123" t="str">
        <x:v>P0</x:v>
      </x:c>
      <x:c r="D7" s="116" t="str">
        <x:v>Dean / VP</x:v>
      </x:c>
      <x:c r="E7" s="108" t="str">
        <x:v>Dean owns a DRAFT Agreement.</x:v>
      </x:c>
      <x:c r="F7" s="108" t="str">
        <x:v>Open the draft as Dean. Copy its URL and open it as VP. Also change the numeric ID to another private draft.</x:v>
      </x:c>
      <x:c r="G7" s="108" t="str">
        <x:v>Dean can open the draft; VP receives not found and sees no metadata, versions, or documents.</x:v>
      </x:c>
      <x:c r="H7" s="108" t="str"/>
      <x:c r="I7" s="126" t="str">
        <x:v>Not Run</x:v>
      </x:c>
      <x:c r="J7" s="108" t="str"/>
      <x:c r="K7" s="108" t="str"/>
      <x:c r="L7" s="108" t="str"/>
      <x:c r="M7" s="129"/>
      <x:c r="N7" s="109" t="str"/>
    </x:row>
    <x:row r="8" ht="72" customHeight="1">
      <x:c r="A8" s="120" t="str">
        <x:v>UAT-003</x:v>
      </x:c>
      <x:c r="B8" s="116" t="str">
        <x:v>Document security</x:v>
      </x:c>
      <x:c r="C8" s="123" t="str">
        <x:v>P0</x:v>
      </x:c>
      <x:c r="D8" s="116" t="str">
        <x:v>Dean / reviewer</x:v>
      </x:c>
      <x:c r="E8" s="108" t="str">
        <x:v>A secure document is attached to an Agreement under review.</x:v>
      </x:c>
      <x:c r="F8" s="108" t="str">
        <x:v>Download while assigned; complete the review; reuse the same download URL after handoff.</x:v>
      </x:c>
      <x:c r="G8" s="108" t="str">
        <x:v>Download works only during active authorized access. The former reviewer receives not found after handoff.</x:v>
      </x:c>
      <x:c r="H8" s="108" t="str"/>
      <x:c r="I8" s="126" t="str">
        <x:v>Not Run</x:v>
      </x:c>
      <x:c r="J8" s="108" t="str"/>
      <x:c r="K8" s="108" t="str"/>
      <x:c r="L8" s="108" t="str"/>
      <x:c r="M8" s="129"/>
      <x:c r="N8" s="109" t="str"/>
    </x:row>
    <x:row r="9" ht="72" customHeight="1">
      <x:c r="A9" s="120" t="str">
        <x:v>UAT-004</x:v>
      </x:c>
      <x:c r="B9" s="116" t="str">
        <x:v>Legacy boundary</x:v>
      </x:c>
      <x:c r="C9" s="123" t="str">
        <x:v>P1</x:v>
      </x:c>
      <x:c r="D9" s="116" t="str">
        <x:v>Administrator</x:v>
      </x:c>
      <x:c r="E9" s="108" t="str">
        <x:v>Workspace replacement switch is enabled.</x:v>
      </x:c>
      <x:c r="F9" s="108" t="str">
        <x:v>Open each retired Agreement admin add/list/review/edit route while signed in and signed out.</x:v>
      </x:c>
      <x:c r="G9" s="108" t="str">
        <x:v>Routes redirect to the canonical workspace; signed-out users reach login with a safe return target. Initiative pages are unchanged.</x:v>
      </x:c>
      <x:c r="H9" s="108" t="str"/>
      <x:c r="I9" s="126" t="str">
        <x:v>Not Run</x:v>
      </x:c>
      <x:c r="J9" s="108" t="str"/>
      <x:c r="K9" s="108" t="str"/>
      <x:c r="L9" s="108" t="str"/>
      <x:c r="M9" s="129"/>
      <x:c r="N9" s="109" t="str"/>
    </x:row>
    <x:row r="10" ht="72" customHeight="1">
      <x:c r="A10" s="120" t="str">
        <x:v>UAT-005</x:v>
      </x:c>
      <x:c r="B10" s="116" t="str">
        <x:v>Agreement CRUD</x:v>
      </x:c>
      <x:c r="C10" s="123" t="str">
        <x:v>P0</x:v>
      </x:c>
      <x:c r="D10" s="116" t="str">
        <x:v>Dean</x:v>
      </x:c>
      <x:c r="E10" s="108" t="str">
        <x:v>At least one active partner exists.</x:v>
      </x:c>
      <x:c r="F10" s="108" t="str">
        <x:v>Create a complete Agreement with dates, justification, expected value, objectives, collaboration areas, implementation methods, partner, and representative structured fields.</x:v>
      </x:c>
      <x:c r="G10" s="108" t="str">
        <x:v>Agreement is DRAFT; all saved values render correctly; partner link, version 1, and audit entry exist.</x:v>
      </x:c>
      <x:c r="H10" s="108" t="str"/>
      <x:c r="I10" s="126" t="str">
        <x:v>Not Run</x:v>
      </x:c>
      <x:c r="J10" s="108" t="str"/>
      <x:c r="K10" s="108" t="str"/>
      <x:c r="L10" s="108" t="str"/>
      <x:c r="M10" s="129"/>
      <x:c r="N10" s="109" t="str"/>
    </x:row>
    <x:row r="11" ht="72" customHeight="1">
      <x:c r="A11" s="120" t="str">
        <x:v>UAT-006</x:v>
      </x:c>
      <x:c r="B11" s="116" t="str">
        <x:v>Agreement CRUD</x:v>
      </x:c>
      <x:c r="C11" s="123" t="str">
        <x:v>P0</x:v>
      </x:c>
      <x:c r="D11" s="116" t="str">
        <x:v>Dean</x:v>
      </x:c>
      <x:c r="E11" s="108" t="str">
        <x:v>Create form is open.</x:v>
      </x:c>
      <x:c r="F11" s="108" t="str">
        <x:v>Attempt submission with required title, type, description, partner, and one additional required submission field missing.</x:v>
      </x:c>
      <x:c r="G11" s="108" t="str">
        <x:v>Field-specific validation appears; no partial Agreement/workflow data is committed.</x:v>
      </x:c>
      <x:c r="H11" s="108" t="str"/>
      <x:c r="I11" s="126" t="str">
        <x:v>Not Run</x:v>
      </x:c>
      <x:c r="J11" s="108" t="str"/>
      <x:c r="K11" s="108" t="str"/>
      <x:c r="L11" s="108" t="str"/>
      <x:c r="M11" s="129"/>
      <x:c r="N11" s="109" t="str"/>
    </x:row>
    <x:row r="12" ht="72" customHeight="1">
      <x:c r="A12" s="120" t="str">
        <x:v>UAT-007</x:v>
      </x:c>
      <x:c r="B12" s="116" t="str">
        <x:v>Versions</x:v>
      </x:c>
      <x:c r="C12" s="123" t="str">
        <x:v>P1</x:v>
      </x:c>
      <x:c r="D12" s="116" t="str">
        <x:v>Dean</x:v>
      </x:c>
      <x:c r="E12" s="108" t="str">
        <x:v>A DRAFT Agreement exists.</x:v>
      </x:c>
      <x:c r="F12" s="108" t="str">
        <x:v>Edit the title or description with a change summary; open version history and compare versions 1 and 2.</x:v>
      </x:c>
      <x:c r="G12" s="108" t="str">
        <x:v>Version number increments; the earlier snapshot is unchanged; latest details show the edit.</x:v>
      </x:c>
      <x:c r="H12" s="108" t="str"/>
      <x:c r="I12" s="126" t="str">
        <x:v>Not Run</x:v>
      </x:c>
      <x:c r="J12" s="108" t="str"/>
      <x:c r="K12" s="108" t="str"/>
      <x:c r="L12" s="108" t="str"/>
      <x:c r="M12" s="129"/>
      <x:c r="N12" s="109" t="str"/>
    </x:row>
    <x:row r="13" ht="72" customHeight="1">
      <x:c r="A13" s="120" t="str">
        <x:v>UAT-008</x:v>
      </x:c>
      <x:c r="B13" s="116" t="str">
        <x:v>Document security</x:v>
      </x:c>
      <x:c r="C13" s="123" t="str">
        <x:v>P0</x:v>
      </x:c>
      <x:c r="D13" s="116" t="str">
        <x:v>Dean</x:v>
      </x:c>
      <x:c r="E13" s="108" t="str">
        <x:v>An editable DRAFT exists; test PDF/DOC/DOCX files are available.</x:v>
      </x:c>
      <x:c r="F13" s="108" t="str">
        <x:v>Upload a valid file, inspect metadata, download it, then try a renamed executable or file over 10 MB.</x:v>
      </x:c>
      <x:c r="G13" s="108" t="str">
        <x:v>Valid file is private and checksum-linked to the current version; invalid upload is rejected without residue; no storage path is exposed.</x:v>
      </x:c>
      <x:c r="H13" s="108" t="str"/>
      <x:c r="I13" s="126" t="str">
        <x:v>Not Run</x:v>
      </x:c>
      <x:c r="J13" s="108" t="str"/>
      <x:c r="K13" s="108" t="str"/>
      <x:c r="L13" s="108" t="str"/>
      <x:c r="M13" s="129"/>
      <x:c r="N13" s="109" t="str"/>
    </x:row>
    <x:row r="14" ht="72" customHeight="1">
      <x:c r="A14" s="120" t="str">
        <x:v>UAT-009</x:v>
      </x:c>
      <x:c r="B14" s="116" t="str">
        <x:v>Submission</x:v>
      </x:c>
      <x:c r="C14" s="123" t="str">
        <x:v>P0</x:v>
      </x:c>
      <x:c r="D14" s="116" t="str">
        <x:v>Dean</x:v>
      </x:c>
      <x:c r="E14" s="108" t="str">
        <x:v>The Agreement is complete and linked to an active partner.</x:v>
      </x:c>
      <x:c r="F14" s="108" t="str">
        <x:v>Submit the Agreement once, then attempt a second submission.</x:v>
      </x:c>
      <x:c r="G14" s="108" t="str">
        <x:v>Status becomes UNDER_REVIEW; VP_INITIAL is active exactly once; duplicate submission is rejected.</x:v>
      </x:c>
      <x:c r="H14" s="108" t="str"/>
      <x:c r="I14" s="126" t="str">
        <x:v>Not Run</x:v>
      </x:c>
      <x:c r="J14" s="108" t="str"/>
      <x:c r="K14" s="108" t="str"/>
      <x:c r="L14" s="108" t="str"/>
      <x:c r="M14" s="129"/>
      <x:c r="N14" s="109" t="str"/>
    </x:row>
    <x:row r="15" ht="72" customHeight="1">
      <x:c r="A15" s="120" t="str">
        <x:v>UAT-010</x:v>
      </x:c>
      <x:c r="B15" s="116" t="str">
        <x:v>Initial VP</x:v>
      </x:c>
      <x:c r="C15" s="123" t="str">
        <x:v>P0</x:v>
      </x:c>
      <x:c r="D15" s="116" t="str">
        <x:v>Vice President</x:v>
      </x:c>
      <x:c r="E15" s="108" t="str">
        <x:v>VP has the active initial-review assignment.</x:v>
      </x:c>
      <x:c r="F15" s="108" t="str">
        <x:v>Open the VP task, review the latest Agreement/version, select both Legal and Finance, and approve initial routing.</x:v>
      </x:c>
      <x:c r="G15" s="108" t="str">
        <x:v>VP_INITIAL completes; Legal and Finance become active in parallel with one assignment each.</x:v>
      </x:c>
      <x:c r="H15" s="108" t="str"/>
      <x:c r="I15" s="126" t="str">
        <x:v>Not Run</x:v>
      </x:c>
      <x:c r="J15" s="108" t="str"/>
      <x:c r="K15" s="108" t="str"/>
      <x:c r="L15" s="108" t="str"/>
      <x:c r="M15" s="129"/>
      <x:c r="N15" s="109" t="str"/>
    </x:row>
    <x:row r="16" ht="72" customHeight="1">
      <x:c r="A16" s="120" t="str">
        <x:v>UAT-011</x:v>
      </x:c>
      <x:c r="B16" s="116" t="str">
        <x:v>Specialist review</x:v>
      </x:c>
      <x:c r="C16" s="123" t="str">
        <x:v>P0</x:v>
      </x:c>
      <x:c r="D16" s="116" t="str">
        <x:v>Finance reviewer</x:v>
      </x:c>
      <x:c r="E16" s="108" t="str">
        <x:v>Legal and Finance are both active.</x:v>
      </x:c>
      <x:c r="F16" s="108" t="str">
        <x:v>Approve Finance before Legal; inspect the VP inbox.</x:v>
      </x:c>
      <x:c r="G16" s="108" t="str">
        <x:v>Finance completes and leaves its inbox; Final VP remains pending until Legal completes.</x:v>
      </x:c>
      <x:c r="H16" s="108" t="str"/>
      <x:c r="I16" s="126" t="str">
        <x:v>Not Run</x:v>
      </x:c>
      <x:c r="J16" s="108" t="str"/>
      <x:c r="K16" s="108" t="str"/>
      <x:c r="L16" s="108" t="str"/>
      <x:c r="M16" s="129"/>
      <x:c r="N16" s="109" t="str"/>
    </x:row>
    <x:row r="17" ht="72" customHeight="1">
      <x:c r="A17" s="120" t="str">
        <x:v>UAT-012</x:v>
      </x:c>
      <x:c r="B17" s="116" t="str">
        <x:v>Specialist review</x:v>
      </x:c>
      <x:c r="C17" s="123" t="str">
        <x:v>P0</x:v>
      </x:c>
      <x:c r="D17" s="116" t="str">
        <x:v>Legal reviewer</x:v>
      </x:c>
      <x:c r="E17" s="108" t="str">
        <x:v>Finance is approved and Legal is active.</x:v>
      </x:c>
      <x:c r="F17" s="108" t="str">
        <x:v>Approve Legal and inspect Legal, Finance, and VP inboxes.</x:v>
      </x:c>
      <x:c r="G17" s="108" t="str">
        <x:v>Legal completes; Final VP activates exactly once; completed specialist tasks disappear.</x:v>
      </x:c>
      <x:c r="H17" s="108" t="str"/>
      <x:c r="I17" s="126" t="str">
        <x:v>Not Run</x:v>
      </x:c>
      <x:c r="J17" s="108" t="str"/>
      <x:c r="K17" s="108" t="str"/>
      <x:c r="L17" s="108" t="str"/>
      <x:c r="M17" s="129"/>
      <x:c r="N17" s="109" t="str"/>
    </x:row>
    <x:row r="18" ht="72" customHeight="1">
      <x:c r="A18" s="120" t="str">
        <x:v>UAT-013</x:v>
      </x:c>
      <x:c r="B18" s="116" t="str">
        <x:v>Final VP</x:v>
      </x:c>
      <x:c r="C18" s="123" t="str">
        <x:v>P0</x:v>
      </x:c>
      <x:c r="D18" s="116" t="str">
        <x:v>Vice President</x:v>
      </x:c>
      <x:c r="E18" s="108" t="str">
        <x:v>All required specialists are approved.</x:v>
      </x:c>
      <x:c r="F18" s="108" t="str">
        <x:v>Open Final VP task, verify Legal/Finance outcomes, and approve recommendation.</x:v>
      </x:c>
      <x:c r="G18" s="108" t="str">
        <x:v>Final VP completes; President approval activates with one President assignment.</x:v>
      </x:c>
      <x:c r="H18" s="108" t="str"/>
      <x:c r="I18" s="126" t="str">
        <x:v>Not Run</x:v>
      </x:c>
      <x:c r="J18" s="108" t="str"/>
      <x:c r="K18" s="108" t="str"/>
      <x:c r="L18" s="108" t="str"/>
      <x:c r="M18" s="129"/>
      <x:c r="N18" s="109" t="str"/>
    </x:row>
    <x:row r="19" ht="72" customHeight="1">
      <x:c r="A19" s="120" t="str">
        <x:v>UAT-014</x:v>
      </x:c>
      <x:c r="B19" s="116" t="str">
        <x:v>President &amp; publication</x:v>
      </x:c>
      <x:c r="C19" s="123" t="str">
        <x:v>P0</x:v>
      </x:c>
      <x:c r="D19" s="116" t="str">
        <x:v>President</x:v>
      </x:c>
      <x:c r="E19" s="108" t="str">
        <x:v>President has the active final assignment.</x:v>
      </x:c>
      <x:c r="F19" s="108" t="str">
        <x:v>Approve the Agreement; reopen task URL; open the public catalogue and the generated public reference.</x:v>
      </x:c>
      <x:c r="G19" s="108" t="str">
        <x:v>Workflow is COMPLETED; Agreement is APPROVED; duplicate decision is rejected; allow-listed public details appear without private workflow/data.</x:v>
      </x:c>
      <x:c r="H19" s="108" t="str"/>
      <x:c r="I19" s="126" t="str">
        <x:v>Not Run</x:v>
      </x:c>
      <x:c r="J19" s="108" t="str"/>
      <x:c r="K19" s="108" t="str"/>
      <x:c r="L19" s="108" t="str"/>
      <x:c r="M19" s="129"/>
      <x:c r="N19" s="109" t="str"/>
    </x:row>
    <x:row r="20" ht="72" customHeight="1">
      <x:c r="A20" s="120" t="str">
        <x:v>UAT-015</x:v>
      </x:c>
      <x:c r="B20" s="116" t="str">
        <x:v>Change request</x:v>
      </x:c>
      <x:c r="C20" s="123" t="str">
        <x:v>P0</x:v>
      </x:c>
      <x:c r="D20" s="116" t="str">
        <x:v>Legal reviewer</x:v>
      </x:c>
      <x:c r="E20" s="108" t="str">
        <x:v>A second Agreement has active Legal and Finance review.</x:v>
      </x:c>
      <x:c r="F20" s="108" t="str">
        <x:v>Request changes from Legal with a reason while Finance is active.</x:v>
      </x:c>
      <x:c r="G20" s="108" t="str">
        <x:v>Legal becomes CHANGES_REQUESTED; Finance pauses; VP mediation activates with the exact recorded reason.</x:v>
      </x:c>
      <x:c r="H20" s="108" t="str"/>
      <x:c r="I20" s="126" t="str">
        <x:v>Not Run</x:v>
      </x:c>
      <x:c r="J20" s="108" t="str"/>
      <x:c r="K20" s="108" t="str"/>
      <x:c r="L20" s="108" t="str"/>
      <x:c r="M20" s="129"/>
      <x:c r="N20" s="109" t="str"/>
    </x:row>
    <x:row r="21" ht="72" customHeight="1">
      <x:c r="A21" s="120" t="str">
        <x:v>UAT-016</x:v>
      </x:c>
      <x:c r="B21" s="116" t="str">
        <x:v>VP mediation</x:v>
      </x:c>
      <x:c r="C21" s="123" t="str">
        <x:v>P0</x:v>
      </x:c>
      <x:c r="D21" s="116" t="str">
        <x:v>Vice President</x:v>
      </x:c>
      <x:c r="E21" s="108" t="str">
        <x:v>VP mediation is active for UAT-015.</x:v>
      </x:c>
      <x:c r="F21" s="108" t="str">
        <x:v>Route the Agreement to the creator and inspect assignments/status.</x:v>
      </x:c>
      <x:c r="G21" s="108" t="str">
        <x:v>Creator redraft becomes active; Agreement becomes REVISION_REQUIRED; obsolete reviewer assignments are inactive; baseline version is stored.</x:v>
      </x:c>
      <x:c r="H21" s="108" t="str"/>
      <x:c r="I21" s="126" t="str">
        <x:v>Not Run</x:v>
      </x:c>
      <x:c r="J21" s="108" t="str"/>
      <x:c r="K21" s="108" t="str"/>
      <x:c r="L21" s="108" t="str"/>
      <x:c r="M21" s="129"/>
      <x:c r="N21" s="109" t="str"/>
    </x:row>
    <x:row r="22" ht="72" customHeight="1">
      <x:c r="A22" s="120" t="str">
        <x:v>UAT-017</x:v>
      </x:c>
      <x:c r="B22" s="116" t="str">
        <x:v>Redraft</x:v>
      </x:c>
      <x:c r="C22" s="123" t="str">
        <x:v>P0</x:v>
      </x:c>
      <x:c r="D22" s="116" t="str">
        <x:v>Dean</x:v>
      </x:c>
      <x:c r="E22" s="108" t="str">
        <x:v>Creator redraft is active.</x:v>
      </x:c>
      <x:c r="F22" s="108" t="str">
        <x:v>Try resubmitting before an edit; then edit with a change summary and resubmit.</x:v>
      </x:c>
      <x:c r="G22" s="108" t="str">
        <x:v>First resubmission is rejected; edit creates a newer immutable version; valid resubmission starts a new review cycle at Initial VP.</x:v>
      </x:c>
      <x:c r="H22" s="108" t="str"/>
      <x:c r="I22" s="126" t="str">
        <x:v>Not Run</x:v>
      </x:c>
      <x:c r="J22" s="108" t="str"/>
      <x:c r="K22" s="108" t="str"/>
      <x:c r="L22" s="108" t="str"/>
      <x:c r="M22" s="129"/>
      <x:c r="N22" s="109" t="str"/>
    </x:row>
    <x:row r="23" ht="72" customHeight="1">
      <x:c r="A23" s="120" t="str">
        <x:v>UAT-018</x:v>
      </x:c>
      <x:c r="B23" s="116" t="str">
        <x:v>VP mediation</x:v>
      </x:c>
      <x:c r="C23" s="123" t="str">
        <x:v>P1</x:v>
      </x:c>
      <x:c r="D23" s="116" t="str">
        <x:v>Vice President</x:v>
      </x:c>
      <x:c r="E23" s="108" t="str">
        <x:v>A specialist change request is awaiting VP mediation.</x:v>
      </x:c>
      <x:c r="F23" s="108" t="str">
        <x:v>Route once to Legal or Finance rather than the creator; inspect task ownership.</x:v>
      </x:c>
      <x:c r="G23" s="108" t="str">
        <x:v>Only the selected specialist step reactivates with a new assignment; unrelated assignments remain inactive.</x:v>
      </x:c>
      <x:c r="H23" s="108" t="str"/>
      <x:c r="I23" s="126" t="str">
        <x:v>Not Run</x:v>
      </x:c>
      <x:c r="J23" s="108" t="str"/>
      <x:c r="K23" s="108" t="str"/>
      <x:c r="L23" s="108" t="str"/>
      <x:c r="M23" s="129"/>
      <x:c r="N23" s="109" t="str"/>
    </x:row>
    <x:row r="24" ht="72" customHeight="1">
      <x:c r="A24" s="120" t="str">
        <x:v>UAT-019</x:v>
      </x:c>
      <x:c r="B24" s="116" t="str">
        <x:v>President change</x:v>
      </x:c>
      <x:c r="C24" s="123" t="str">
        <x:v>P0</x:v>
      </x:c>
      <x:c r="D24" s="116" t="str">
        <x:v>President / VP</x:v>
      </x:c>
      <x:c r="E24" s="108" t="str">
        <x:v>A separate Agreement reaches President review.</x:v>
      </x:c>
      <x:c r="F24" s="108" t="str">
        <x:v>President requests changes with a reason; VP opens mediation and routes to creator or specialist.</x:v>
      </x:c>
      <x:c r="G24" s="108" t="str">
        <x:v>President task closes; Final VP decision is cleared; VP receives the recorded reason and controls the next route.</x:v>
      </x:c>
      <x:c r="H24" s="108" t="str"/>
      <x:c r="I24" s="126" t="str">
        <x:v>Not Run</x:v>
      </x:c>
      <x:c r="J24" s="108" t="str"/>
      <x:c r="K24" s="108" t="str"/>
      <x:c r="L24" s="108" t="str"/>
      <x:c r="M24" s="129"/>
      <x:c r="N24" s="109" t="str"/>
    </x:row>
    <x:row r="25" ht="72" customHeight="1">
      <x:c r="A25" s="120" t="str">
        <x:v>UAT-020</x:v>
      </x:c>
      <x:c r="B25" s="116" t="str">
        <x:v>Rejection</x:v>
      </x:c>
      <x:c r="C25" s="123" t="str">
        <x:v>P0</x:v>
      </x:c>
      <x:c r="D25" s="116" t="str">
        <x:v>VP or President</x:v>
      </x:c>
      <x:c r="E25" s="108" t="str">
        <x:v>A disposable Agreement has an active decision task.</x:v>
      </x:c>
      <x:c r="F25" s="108" t="str">
        <x:v>Attempt rejection without a reason, then reject with confirmation and a reason; repeat the decision.</x:v>
      </x:c>
      <x:c r="G25" s="108" t="str">
        <x:v>Blank reason is rejected; valid rejection makes workflow and Agreement terminally REJECTED; no active assignment or duplicate history remains.</x:v>
      </x:c>
      <x:c r="H25" s="108" t="str"/>
      <x:c r="I25" s="126" t="str">
        <x:v>Not Run</x:v>
      </x:c>
      <x:c r="J25" s="108" t="str"/>
      <x:c r="K25" s="108" t="str"/>
      <x:c r="L25" s="108" t="str"/>
      <x:c r="M25" s="129"/>
      <x:c r="N25" s="109" t="str"/>
    </x:row>
    <x:row r="26" ht="72" customHeight="1">
      <x:c r="A26" s="120" t="str">
        <x:v>UAT-021</x:v>
      </x:c>
      <x:c r="B26" s="116" t="str">
        <x:v>Renewal</x:v>
      </x:c>
      <x:c r="C26" s="123" t="str">
        <x:v>P1</x:v>
      </x:c>
      <x:c r="D26" s="116" t="str">
        <x:v>Creator and approvers</x:v>
      </x:c>
      <x:c r="E26" s="108" t="str">
        <x:v>An APPROVED or ACTIVE source Agreement exists.</x:v>
      </x:c>
      <x:c r="F26" s="108" t="str">
        <x:v>Create a renewal with proposed dates and evidence; complete the full lifecycle approval route.</x:v>
      </x:c>
      <x:c r="G26" s="108" t="str">
        <x:v>One APPROVED successor is created with the proposed dates; source is unchanged; RENEWAL lineage and immutable provenance are visible.</x:v>
      </x:c>
      <x:c r="H26" s="108" t="str"/>
      <x:c r="I26" s="126" t="str">
        <x:v>Not Run</x:v>
      </x:c>
      <x:c r="J26" s="108" t="str"/>
      <x:c r="K26" s="108" t="str"/>
      <x:c r="L26" s="108" t="str"/>
      <x:c r="M26" s="129"/>
      <x:c r="N26" s="109" t="str"/>
    </x:row>
    <x:row r="27" ht="72" customHeight="1">
      <x:c r="A27" s="120" t="str">
        <x:v>UAT-022</x:v>
      </x:c>
      <x:c r="B27" s="116" t="str">
        <x:v>Amendment</x:v>
      </x:c>
      <x:c r="C27" s="123" t="str">
        <x:v>P1</x:v>
      </x:c>
      <x:c r="D27" s="116" t="str">
        <x:v>Creator and approvers</x:v>
      </x:c>
      <x:c r="E27" s="108" t="str">
        <x:v>An APPROVED or ACTIVE source Agreement exists.</x:v>
      </x:c>
      <x:c r="F27" s="108" t="str">
        <x:v>Create an amendment with exact clauses and private evidence; approve it through President.</x:v>
      </x:c>
      <x:c r="G27" s="108" t="str">
        <x:v>One APPROVED cloned successor is created; approved clauses remain authoritative in the lifecycle request; AMENDMENT lineage is visible.</x:v>
      </x:c>
      <x:c r="H27" s="108" t="str"/>
      <x:c r="I27" s="126" t="str">
        <x:v>Not Run</x:v>
      </x:c>
      <x:c r="J27" s="108" t="str"/>
      <x:c r="K27" s="108" t="str"/>
      <x:c r="L27" s="108" t="str"/>
      <x:c r="M27" s="129"/>
      <x:c r="N27" s="109" t="str"/>
    </x:row>
    <x:row r="28" ht="72" customHeight="1">
      <x:c r="A28" s="120" t="str">
        <x:v>UAT-023</x:v>
      </x:c>
      <x:c r="B28" s="116" t="str">
        <x:v>Termination</x:v>
      </x:c>
      <x:c r="C28" s="123" t="str">
        <x:v>P1</x:v>
      </x:c>
      <x:c r="D28" s="116" t="str">
        <x:v>Creator and approvers</x:v>
      </x:c>
      <x:c r="E28" s="108" t="str">
        <x:v>An APPROVED or ACTIVE disposable source exists.</x:v>
      </x:c>
      <x:c r="F28" s="108" t="str">
        <x:v>Create and approve a termination request.</x:v>
      </x:c>
      <x:c r="G28" s="108" t="str">
        <x:v>Source becomes TERMINATED with action history; no successor is created; terminated record is not publicly listed.</x:v>
      </x:c>
      <x:c r="H28" s="108" t="str"/>
      <x:c r="I28" s="126" t="str">
        <x:v>Not Run</x:v>
      </x:c>
      <x:c r="J28" s="108" t="str"/>
      <x:c r="K28" s="108" t="str"/>
      <x:c r="L28" s="108" t="str"/>
      <x:c r="M28" s="129"/>
      <x:c r="N28" s="109" t="str"/>
    </x:row>
    <x:row r="29" ht="72" customHeight="1">
      <x:c r="A29" s="120" t="str">
        <x:v>UAT-024</x:v>
      </x:c>
      <x:c r="B29" s="116" t="str">
        <x:v>Lifecycle documents</x:v>
      </x:c>
      <x:c r="C29" s="123" t="str">
        <x:v>P0</x:v>
      </x:c>
      <x:c r="D29" s="116" t="str">
        <x:v>Requester / reviewers</x:v>
      </x:c>
      <x:c r="E29" s="108" t="str">
        <x:v>A lifecycle draft has a private attachment.</x:v>
      </x:c>
      <x:c r="F29" s="108" t="str">
        <x:v>Submit it; verify requester becomes read-only; test access at VP, then route to Legal and retry as former VP.</x:v>
      </x:c>
      <x:c r="G29" s="108" t="str">
        <x:v>Document follows only the requester and exact active reviewer; VP access ends immediately after handoff; no storage path is disclosed.</x:v>
      </x:c>
      <x:c r="H29" s="108" t="str"/>
      <x:c r="I29" s="126" t="str">
        <x:v>Not Run</x:v>
      </x:c>
      <x:c r="J29" s="108" t="str"/>
      <x:c r="K29" s="108" t="str"/>
      <x:c r="L29" s="108" t="str"/>
      <x:c r="M29" s="129"/>
      <x:c r="N29" s="109" t="str"/>
    </x:row>
    <x:row r="30" ht="72" customHeight="1">
      <x:c r="A30" s="120" t="str">
        <x:v>UAT-025</x:v>
      </x:c>
      <x:c r="B30" s="116" t="str">
        <x:v>Signing</x:v>
      </x:c>
      <x:c r="C30" s="123" t="str">
        <x:v>P0</x:v>
      </x:c>
      <x:c r="D30" s="116" t="str">
        <x:v>Agreement creator</x:v>
      </x:c>
      <x:c r="E30" s="108" t="str">
        <x:v>An APPROVED Agreement and secure SIGNED_AGREEMENT document exist.</x:v>
      </x:c>
      <x:c r="F30" s="108" t="str">
        <x:v>Enter signing/effective/expiry dates and at least one UOB and one partner signatory; finalize with effective date today.</x:v>
      </x:c>
      <x:c r="G30" s="108" t="str">
        <x:v>One immutable signing record is created; signatories freeze; Agreement becomes ACTIVE; referenced document cannot be deleted.</x:v>
      </x:c>
      <x:c r="H30" s="108" t="str"/>
      <x:c r="I30" s="126" t="str">
        <x:v>Not Run</x:v>
      </x:c>
      <x:c r="J30" s="108" t="str"/>
      <x:c r="K30" s="108" t="str"/>
      <x:c r="L30" s="108" t="str"/>
      <x:c r="M30" s="129"/>
      <x:c r="N30" s="109" t="str"/>
    </x:row>
    <x:row r="31" ht="72" customHeight="1">
      <x:c r="A31" s="120" t="str">
        <x:v>UAT-026</x:v>
      </x:c>
      <x:c r="B31" s="116" t="str">
        <x:v>Activation</x:v>
      </x:c>
      <x:c r="C31" s="123" t="str">
        <x:v>P1</x:v>
      </x:c>
      <x:c r="D31" s="116" t="str">
        <x:v>Creator / administrator</x:v>
      </x:c>
      <x:c r="E31" s="108" t="str">
        <x:v>An APPROVED Agreement is finalized with a future effective date.</x:v>
      </x:c>
      <x:c r="F31" s="108" t="str">
        <x:v>Confirm it remains scheduled; preview status sync; run commit with --as-of on effective date.</x:v>
      </x:c>
      <x:c r="G31" s="108" t="str">
        <x:v>Preview writes nothing; commit changes status to ACTIVE once and creates one status/audit event.</x:v>
      </x:c>
      <x:c r="H31" s="108" t="str"/>
      <x:c r="I31" s="126" t="str">
        <x:v>Not Run</x:v>
      </x:c>
      <x:c r="J31" s="108" t="str"/>
      <x:c r="K31" s="108" t="str"/>
      <x:c r="L31" s="108" t="str"/>
      <x:c r="M31" s="129"/>
      <x:c r="N31" s="109" t="str"/>
    </x:row>
    <x:row r="32" ht="72" customHeight="1">
      <x:c r="A32" s="120" t="str">
        <x:v>UAT-027</x:v>
      </x:c>
      <x:c r="B32" s="116" t="str">
        <x:v>Expiry</x:v>
      </x:c>
      <x:c r="C32" s="123" t="str">
        <x:v>P1</x:v>
      </x:c>
      <x:c r="D32" s="116" t="str">
        <x:v>Administrator</x:v>
      </x:c>
      <x:c r="E32" s="108" t="str">
        <x:v>An ACTIVE Agreement has an expiry date before the controlled as-of date.</x:v>
      </x:c>
      <x:c r="F32" s="108" t="str">
        <x:v>Run operational sync twice for the day after expiry.</x:v>
      </x:c>
      <x:c r="G32" s="108" t="str">
        <x:v>First run makes it EXPIRED; second run is idempotent with no duplicate event; TERMINATED records remain unchanged.</x:v>
      </x:c>
      <x:c r="H32" s="108" t="str"/>
      <x:c r="I32" s="126" t="str">
        <x:v>Not Run</x:v>
      </x:c>
      <x:c r="J32" s="108" t="str"/>
      <x:c r="K32" s="108" t="str"/>
      <x:c r="L32" s="108" t="str"/>
      <x:c r="M32" s="129"/>
      <x:c r="N32" s="109" t="str"/>
    </x:row>
    <x:row r="33" ht="72" customHeight="1">
      <x:c r="A33" s="120" t="str">
        <x:v>UAT-028</x:v>
      </x:c>
      <x:c r="B33" s="116" t="str">
        <x:v>Signing security</x:v>
      </x:c>
      <x:c r="C33" s="123" t="str">
        <x:v>P0</x:v>
      </x:c>
      <x:c r="D33" s="116" t="str">
        <x:v>Creator / administrator</x:v>
      </x:c>
      <x:c r="E33" s="108" t="str">
        <x:v>A signed document is referenced by a finalized signing record.</x:v>
      </x:c>
      <x:c r="F33" s="108" t="str">
        <x:v>Attempt document deletion and attempt a second signing finalization.</x:v>
      </x:c>
      <x:c r="G33" s="108" t="str">
        <x:v>Both operations are rejected; original document, signing record, and status remain unchanged.</x:v>
      </x:c>
      <x:c r="H33" s="108" t="str"/>
      <x:c r="I33" s="126" t="str">
        <x:v>Not Run</x:v>
      </x:c>
      <x:c r="J33" s="108" t="str"/>
      <x:c r="K33" s="108" t="str"/>
      <x:c r="L33" s="108" t="str"/>
      <x:c r="M33" s="129"/>
      <x:c r="N33" s="109" t="str"/>
    </x:row>
    <x:row r="34" ht="72" customHeight="1">
      <x:c r="A34" s="120" t="str">
        <x:v>UAT-029</x:v>
      </x:c>
      <x:c r="B34" s="116" t="str">
        <x:v>Reporting periods</x:v>
      </x:c>
      <x:c r="C34" s="123" t="str">
        <x:v>P1</x:v>
      </x:c>
      <x:c r="D34" s="116" t="str">
        <x:v>Administrator</x:v>
      </x:c>
      <x:c r="E34" s="108" t="str">
        <x:v>An eligible ACTIVE/EXPIRED Agreement requires annual reporting.</x:v>
      </x:c>
      <x:c r="F34" s="108" t="str">
        <x:v>Run period generator in preview, commit it twice, and open the generated report.</x:v>
      </x:c>
      <x:c r="G34" s="108" t="str">
        <x:v>Preview writes nothing; first commit creates one current period with copied baselines; second commit creates no duplicate.</x:v>
      </x:c>
      <x:c r="H34" s="108" t="str"/>
      <x:c r="I34" s="126" t="str">
        <x:v>Not Run</x:v>
      </x:c>
      <x:c r="J34" s="108" t="str"/>
      <x:c r="K34" s="108" t="str"/>
      <x:c r="L34" s="108" t="str"/>
      <x:c r="M34" s="129"/>
      <x:c r="N34" s="109" t="str"/>
    </x:row>
    <x:row r="35" ht="72" customHeight="1">
      <x:c r="A35" s="120" t="str">
        <x:v>UAT-030</x:v>
      </x:c>
      <x:c r="B35" s="116" t="str">
        <x:v>Performance report</x:v>
      </x:c>
      <x:c r="C35" s="123" t="str">
        <x:v>P1</x:v>
      </x:c>
      <x:c r="D35" s="116" t="str">
        <x:v>Agreement creator</x:v>
      </x:c>
      <x:c r="E35" s="108" t="str">
        <x:v>A generated report is editable and secure ANNUAL_REPORT evidence exists.</x:v>
      </x:c>
      <x:c r="F35" s="108" t="str">
        <x:v>Enter summary, achievements, every actual metric, program progress, and evidence; submit.</x:v>
      </x:c>
      <x:c r="G35" s="108" t="str">
        <x:v>Complete report becomes SUBMITTED; missing required data or invalid evidence is rejected; approved Agreement targets remain unchanged.</x:v>
      </x:c>
      <x:c r="H35" s="108" t="str"/>
      <x:c r="I35" s="126" t="str">
        <x:v>Not Run</x:v>
      </x:c>
      <x:c r="J35" s="108" t="str"/>
      <x:c r="K35" s="108" t="str"/>
      <x:c r="L35" s="108" t="str"/>
      <x:c r="M35" s="129"/>
      <x:c r="N35" s="109" t="str"/>
    </x:row>
    <x:row r="36" ht="72" customHeight="1">
      <x:c r="A36" s="120" t="str">
        <x:v>UAT-031</x:v>
      </x:c>
      <x:c r="B36" s="116" t="str">
        <x:v>Performance return</x:v>
      </x:c>
      <x:c r="C36" s="123" t="str">
        <x:v>P1</x:v>
      </x:c>
      <x:c r="D36" s="116" t="str">
        <x:v>Report reviewer / creator</x:v>
      </x:c>
      <x:c r="E36" s="108" t="str">
        <x:v>A report is SUBMITTED; reviewer is not the preparer.</x:v>
      </x:c>
      <x:c r="F36" s="108" t="str">
        <x:v>Try returning without comments; return with comments; creator edits and resubmits.</x:v>
      </x:c>
      <x:c r="G36" s="108" t="str">
        <x:v>Blank return is rejected; valid return reopens editing with comments; resubmission returns it to SUBMITTED with event history.</x:v>
      </x:c>
      <x:c r="H36" s="108" t="str"/>
      <x:c r="I36" s="126" t="str">
        <x:v>Not Run</x:v>
      </x:c>
      <x:c r="J36" s="108" t="str"/>
      <x:c r="K36" s="108" t="str"/>
      <x:c r="L36" s="108" t="str"/>
      <x:c r="M36" s="129"/>
      <x:c r="N36" s="109" t="str"/>
    </x:row>
    <x:row r="37" ht="72" customHeight="1">
      <x:c r="A37" s="120" t="str">
        <x:v>UAT-032</x:v>
      </x:c>
      <x:c r="B37" s="116" t="str">
        <x:v>Performance acceptance</x:v>
      </x:c>
      <x:c r="C37" s="123" t="str">
        <x:v>P0</x:v>
      </x:c>
      <x:c r="D37" s="116" t="str">
        <x:v>Report reviewer</x:v>
      </x:c>
      <x:c r="E37" s="108" t="str">
        <x:v>A complete report is resubmitted; reviewer differs from preparer.</x:v>
      </x:c>
      <x:c r="F37" s="108" t="str">
        <x:v>Accept the report; attempt an owner edit and evidence deletion afterward.</x:v>
      </x:c>
      <x:c r="G37" s="108" t="str">
        <x:v>Report becomes immutable ACCEPTED; edit and linked-document deletion are rejected; self-review remains prohibited.</x:v>
      </x:c>
      <x:c r="H37" s="108" t="str"/>
      <x:c r="I37" s="126" t="str">
        <x:v>Not Run</x:v>
      </x:c>
      <x:c r="J37" s="108" t="str"/>
      <x:c r="K37" s="108" t="str"/>
      <x:c r="L37" s="108" t="str"/>
      <x:c r="M37" s="129"/>
      <x:c r="N37" s="109" t="str"/>
    </x:row>
    <x:row r="38" ht="72" customHeight="1">
      <x:c r="A38" s="120" t="str">
        <x:v>UAT-033</x:v>
      </x:c>
      <x:c r="B38" s="116" t="str">
        <x:v>Management dashboard</x:v>
      </x:c>
      <x:c r="C38" s="123" t="str">
        <x:v>P1</x:v>
      </x:c>
      <x:c r="D38" s="116" t="str">
        <x:v>Agreement approver</x:v>
      </x:c>
      <x:c r="E38" s="108" t="str">
        <x:v>Accepted and non-accepted reports exist for the selected year.</x:v>
      </x:c>
      <x:c r="F38" s="108" t="str">
        <x:v>Open dashboard as creator without permission and as approver; compare aggregate totals with report states.</x:v>
      </x:c>
      <x:c r="G38" s="108" t="str">
        <x:v>Creator is forbidden; approver sees deadlines and counts; KPI/program totals include ACCEPTED reports only and expose no narratives/documents.</x:v>
      </x:c>
      <x:c r="H38" s="108" t="str"/>
      <x:c r="I38" s="126" t="str">
        <x:v>Not Run</x:v>
      </x:c>
      <x:c r="J38" s="108" t="str"/>
      <x:c r="K38" s="108" t="str"/>
      <x:c r="L38" s="108" t="str"/>
      <x:c r="M38" s="129"/>
      <x:c r="N38" s="109" t="str"/>
    </x:row>
    <x:row r="39" ht="72" customHeight="1">
      <x:c r="A39" s="120" t="str">
        <x:v>UAT-034</x:v>
      </x:c>
      <x:c r="B39" s="116" t="str">
        <x:v>Public catalogue</x:v>
      </x:c>
      <x:c r="C39" s="123" t="str">
        <x:v>P0</x:v>
      </x:c>
      <x:c r="D39" s="116" t="str">
        <x:v>Public visitor</x:v>
      </x:c>
      <x:c r="E39" s="108" t="str">
        <x:v>Records exist in DRAFT, UNDER_REVIEW, APPROVED, ACTIVE, EXPIRED, REJECTED, and TERMINATED states.</x:v>
      </x:c>
      <x:c r="F39" s="108" t="str">
        <x:v>Search catalogue and open public detail/page source for representative records.</x:v>
      </x:c>
      <x:c r="G39" s="108" t="str">
        <x:v>Only APPROVED and ACTIVE records appear; private identities, comments, versions, audits, documents, storage data, and lifecycle provenance are absent.</x:v>
      </x:c>
      <x:c r="H39" s="108" t="str"/>
      <x:c r="I39" s="126" t="str">
        <x:v>Not Run</x:v>
      </x:c>
      <x:c r="J39" s="108" t="str"/>
      <x:c r="K39" s="108" t="str"/>
      <x:c r="L39" s="108" t="str"/>
      <x:c r="M39" s="129"/>
      <x:c r="N39" s="109" t="str"/>
    </x:row>
    <x:row r="40" ht="72" customHeight="1">
      <x:c r="A40" s="120" t="str">
        <x:v>UAT-035</x:v>
      </x:c>
      <x:c r="B40" s="116" t="str">
        <x:v>Historical import</x:v>
      </x:c>
      <x:c r="C40" s="123" t="str">
        <x:v>P1</x:v>
      </x:c>
      <x:c r="D40" s="116" t="str">
        <x:v>Administrator</x:v>
      </x:c>
      <x:c r="E40" s="108" t="str">
        <x:v>Controlled 41-row import has been completed in this environment.</x:v>
      </x:c>
      <x:c r="F40" s="108" t="str">
        <x:v>Run read-only import verification; inspect one imported version/audit/public record and confirm no workflow exists.</x:v>
      </x:c>
      <x:c r="G40" s="108" t="str">
        <x:v>Exactly 41 controlled records verify; each has one immutable version/audit, no active workflow, and only allow-listed public data.</x:v>
      </x:c>
      <x:c r="H40" s="108" t="str"/>
      <x:c r="I40" s="126" t="str">
        <x:v>Not Run</x:v>
      </x:c>
      <x:c r="J40" s="108" t="str"/>
      <x:c r="K40" s="108" t="str"/>
      <x:c r="L40" s="108" t="str"/>
      <x:c r="M40" s="129"/>
      <x:c r="N40" s="109" t="str"/>
    </x:row>
    <x:row r="41" ht="72" customHeight="1">
      <x:c r="A41" s="121" t="str">
        <x:v>UAT-036</x:v>
      </x:c>
      <x:c r="B41" s="118" t="str">
        <x:v>Release security</x:v>
      </x:c>
      <x:c r="C41" s="124" t="str">
        <x:v>P0</x:v>
      </x:c>
      <x:c r="D41" s="118" t="str">
        <x:v>Technical lead</x:v>
      </x:c>
      <x:c r="E41" s="111" t="str">
        <x:v>Candidate commit is deployed and readiness passes.</x:v>
      </x:c>
      <x:c r="F41" s="111" t="str">
        <x:v>Inspect Network for X-Request-Id and X-UOB-Tab-Session; send malformed JSON, wrong content type, array JSON, oversized JSON, and a mutation without tab-session header in UAT.</x:v>
      </x:c>
      <x:c r="G41" s="111" t="str">
        <x:v>Requests receive controlled 422/415/413/400 responses as applicable; no mutation occurs; private paths and credentials are absent.</x:v>
      </x:c>
      <x:c r="H41" s="111" t="str"/>
      <x:c r="I41" s="127" t="str">
        <x:v>Not Run</x:v>
      </x:c>
      <x:c r="J41" s="111" t="str"/>
      <x:c r="K41" s="111" t="str"/>
      <x:c r="L41" s="111" t="str"/>
      <x:c r="M41" s="130"/>
      <x:c r="N41" s="112" t="str"/>
    </x:row>
  </x:sheetData>
  <x:mergeCells>
    <x:mergeCell ref="A1:N2"/>
    <x:mergeCell ref="A3:N3"/>
  </x:mergeCells>
  <x:conditionalFormatting sqref="I6:I41">
    <x:cfRule type="expression" dxfId="0" priority="1">
      <x:formula>$I6="Passed"</x:formula>
    </x:cfRule>
    <x:cfRule type="expression" dxfId="1" priority="2">
      <x:formula>$I6="Failed"</x:formula>
    </x:cfRule>
    <x:cfRule type="expression" dxfId="2" priority="3">
      <x:formula>$I6="Blocked"</x:formula>
    </x:cfRule>
    <x:cfRule type="expression" dxfId="3" priority="4">
      <x:formula>$I6="In Progress"</x:formula>
    </x:cfRule>
    <x:cfRule type="expression" dxfId="4" priority="5">
      <x:formula>$I6="Deferred"</x:formula>
    </x:cfRule>
    <x:cfRule type="expression" dxfId="5" priority="6">
      <x:formula>$I6="Not Run"</x:formula>
    </x:cfRule>
    <x:cfRule type="expression" dxfId="6" priority="7">
      <x:formula>$I6="Complete"</x:formula>
    </x:cfRule>
    <x:cfRule type="expression" dxfId="7" priority="8">
      <x:formula>$I6="Not Started"</x:formula>
    </x:cfRule>
  </x:conditionalFormatting>
  <x:dataValidations count="2">
    <x:dataValidation type="list" sqref="C6:C41">
      <x:formula1>"P0,P1,P2"</x:formula1>
    </x:dataValidation>
    <x:dataValidation type="list" sqref="I6:I41">
      <x:formula1>"Not Run,In Progress,Passed,Failed,Blocked,Deferred"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0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30" customHeight="1">
      <x:c r="A1" s="4" t="str">
        <x:v>Agreement UAT Defect Log</x:v>
      </x:c>
      <x:c r="B1" s="4" t="str">
        <x:v>Agreement UAT Defect Log</x:v>
      </x:c>
      <x:c r="C1" s="4" t="str">
        <x:v>Agreement UAT Defect Log</x:v>
      </x:c>
      <x:c r="D1" s="4" t="str">
        <x:v>Agreement UAT Defect Log</x:v>
      </x:c>
      <x:c r="E1" s="4" t="str">
        <x:v>Agreement UAT Defect Log</x:v>
      </x:c>
      <x:c r="F1" s="4" t="str">
        <x:v>Agreement UAT Defect Log</x:v>
      </x:c>
      <x:c r="G1" s="4" t="str">
        <x:v>Agreement UAT Defect Log</x:v>
      </x:c>
      <x:c r="H1" s="4" t="str">
        <x:v>Agreement UAT Defect Log</x:v>
      </x:c>
      <x:c r="I1" s="4" t="str">
        <x:v>Agreement UAT Defect Log</x:v>
      </x:c>
      <x:c r="J1" s="4" t="str">
        <x:v>Agreement UAT Defect Log</x:v>
      </x:c>
      <x:c r="K1" s="4" t="str">
        <x:v>Agreement UAT Defect Log</x:v>
      </x:c>
      <x:c r="L1" s="4" t="str">
        <x:v>Agreement UAT Defect Log</x:v>
      </x:c>
      <x:c r="M1" s="4" t="str">
        <x:v>Agreement UAT Defect Log</x:v>
      </x:c>
    </x:row>
    <x:row r="2" ht="30" customHeight="1">
      <x:c r="A2" s="4" t="str">
        <x:v>Agreement UAT Defect Log</x:v>
      </x:c>
      <x:c r="B2" s="4" t="str">
        <x:v>Agreement UAT Defect Log</x:v>
      </x:c>
      <x:c r="C2" s="4" t="str">
        <x:v>Agreement UAT Defect Log</x:v>
      </x:c>
      <x:c r="D2" s="4" t="str">
        <x:v>Agreement UAT Defect Log</x:v>
      </x:c>
      <x:c r="E2" s="4" t="str">
        <x:v>Agreement UAT Defect Log</x:v>
      </x:c>
      <x:c r="F2" s="4" t="str">
        <x:v>Agreement UAT Defect Log</x:v>
      </x:c>
      <x:c r="G2" s="4" t="str">
        <x:v>Agreement UAT Defect Log</x:v>
      </x:c>
      <x:c r="H2" s="4" t="str">
        <x:v>Agreement UAT Defect Log</x:v>
      </x:c>
      <x:c r="I2" s="4" t="str">
        <x:v>Agreement UAT Defect Log</x:v>
      </x:c>
      <x:c r="J2" s="4" t="str">
        <x:v>Agreement UAT Defect Log</x:v>
      </x:c>
      <x:c r="K2" s="4" t="str">
        <x:v>Agreement UAT Defect Log</x:v>
      </x:c>
      <x:c r="L2" s="4" t="str">
        <x:v>Agreement UAT Defect Log</x:v>
      </x:c>
      <x:c r="M2" s="4" t="str">
        <x:v>Agreement UAT Defect Log</x:v>
      </x:c>
    </x:row>
    <x:row r="3">
      <x:c r="A3" s="7" t="str">
        <x:v>Critical and High defects block release. Every fixed defect requires case retest and the full automated suite on the new commit.</x:v>
      </x:c>
      <x:c r="B3" s="7" t="str">
        <x:v>Critical and High defects block release. Every fixed defect requires case retest and the full automated suite on the new commit.</x:v>
      </x:c>
      <x:c r="C3" s="7" t="str">
        <x:v>Critical and High defects block release. Every fixed defect requires case retest and the full automated suite on the new commit.</x:v>
      </x:c>
      <x:c r="D3" s="7" t="str">
        <x:v>Critical and High defects block release. Every fixed defect requires case retest and the full automated suite on the new commit.</x:v>
      </x:c>
      <x:c r="E3" s="7" t="str">
        <x:v>Critical and High defects block release. Every fixed defect requires case retest and the full automated suite on the new commit.</x:v>
      </x:c>
      <x:c r="F3" s="7" t="str">
        <x:v>Critical and High defects block release. Every fixed defect requires case retest and the full automated suite on the new commit.</x:v>
      </x:c>
      <x:c r="G3" s="7" t="str">
        <x:v>Critical and High defects block release. Every fixed defect requires case retest and the full automated suite on the new commit.</x:v>
      </x:c>
      <x:c r="H3" s="7" t="str">
        <x:v>Critical and High defects block release. Every fixed defect requires case retest and the full automated suite on the new commit.</x:v>
      </x:c>
      <x:c r="I3" s="7" t="str">
        <x:v>Critical and High defects block release. Every fixed defect requires case retest and the full automated suite on the new commit.</x:v>
      </x:c>
      <x:c r="J3" s="7" t="str">
        <x:v>Critical and High defects block release. Every fixed defect requires case retest and the full automated suite on the new commit.</x:v>
      </x:c>
      <x:c r="K3" s="7" t="str">
        <x:v>Critical and High defects block release. Every fixed defect requires case retest and the full automated suite on the new commit.</x:v>
      </x:c>
      <x:c r="L3" s="7" t="str">
        <x:v>Critical and High defects block release. Every fixed defect requires case retest and the full automated suite on the new commit.</x:v>
      </x:c>
      <x:c r="M3" s="7" t="str">
        <x:v>Critical and High defects block release. Every fixed defect requires case retest and the full automated suite on the new commit.</x:v>
      </x:c>
    </x:row>
    <x:row r="5" ht="30" customHeight="1">
      <x:c r="A5" s="14" t="str">
        <x:v>Defect ID</x:v>
      </x:c>
      <x:c r="B5" s="47" t="str">
        <x:v>UAT Case</x:v>
      </x:c>
      <x:c r="C5" s="47" t="str">
        <x:v>Summary</x:v>
      </x:c>
      <x:c r="D5" s="47" t="str">
        <x:v>Severity</x:v>
      </x:c>
      <x:c r="E5" s="47" t="str">
        <x:v>Status</x:v>
      </x:c>
      <x:c r="F5" s="47" t="str">
        <x:v>Owner</x:v>
      </x:c>
      <x:c r="G5" s="47" t="str">
        <x:v>Date raised</x:v>
      </x:c>
      <x:c r="H5" s="47" t="str">
        <x:v>Target fix</x:v>
      </x:c>
      <x:c r="I5" s="47" t="str">
        <x:v>Retest status</x:v>
      </x:c>
      <x:c r="J5" s="47" t="str">
        <x:v>Evidence</x:v>
      </x:c>
      <x:c r="K5" s="47" t="str">
        <x:v>Workaround / deferral</x:v>
      </x:c>
      <x:c r="L5" s="47" t="str">
        <x:v>Resolution</x:v>
      </x:c>
      <x:c r="M5" s="15" t="str">
        <x:v>Notes</x:v>
      </x:c>
    </x:row>
    <x:row r="6" ht="36" customHeight="1">
      <x:c r="A6" s="104"/>
      <x:c r="B6" s="105"/>
      <x:c r="C6" s="105"/>
      <x:c r="D6" s="105"/>
      <x:c r="E6" s="105"/>
      <x:c r="F6" s="105"/>
      <x:c r="G6" s="128"/>
      <x:c r="H6" s="128"/>
      <x:c r="I6" s="105"/>
      <x:c r="J6" s="105"/>
      <x:c r="K6" s="105"/>
      <x:c r="L6" s="105"/>
      <x:c r="M6" s="106"/>
    </x:row>
    <x:row r="7" ht="36" customHeight="1">
      <x:c r="A7" s="107"/>
      <x:c r="B7" s="108"/>
      <x:c r="C7" s="108"/>
      <x:c r="D7" s="108"/>
      <x:c r="E7" s="108"/>
      <x:c r="F7" s="108"/>
      <x:c r="G7" s="129"/>
      <x:c r="H7" s="129"/>
      <x:c r="I7" s="108"/>
      <x:c r="J7" s="108"/>
      <x:c r="K7" s="108"/>
      <x:c r="L7" s="108"/>
      <x:c r="M7" s="109"/>
    </x:row>
    <x:row r="8" ht="36" customHeight="1">
      <x:c r="A8" s="107"/>
      <x:c r="B8" s="108"/>
      <x:c r="C8" s="108"/>
      <x:c r="D8" s="108"/>
      <x:c r="E8" s="108"/>
      <x:c r="F8" s="108"/>
      <x:c r="G8" s="129"/>
      <x:c r="H8" s="129"/>
      <x:c r="I8" s="108"/>
      <x:c r="J8" s="108"/>
      <x:c r="K8" s="108"/>
      <x:c r="L8" s="108"/>
      <x:c r="M8" s="109"/>
    </x:row>
    <x:row r="9" ht="36" customHeight="1">
      <x:c r="A9" s="107"/>
      <x:c r="B9" s="108"/>
      <x:c r="C9" s="108"/>
      <x:c r="D9" s="108"/>
      <x:c r="E9" s="108"/>
      <x:c r="F9" s="108"/>
      <x:c r="G9" s="129"/>
      <x:c r="H9" s="129"/>
      <x:c r="I9" s="108"/>
      <x:c r="J9" s="108"/>
      <x:c r="K9" s="108"/>
      <x:c r="L9" s="108"/>
      <x:c r="M9" s="109"/>
    </x:row>
    <x:row r="10" ht="36" customHeight="1">
      <x:c r="A10" s="107"/>
      <x:c r="B10" s="108"/>
      <x:c r="C10" s="108"/>
      <x:c r="D10" s="108"/>
      <x:c r="E10" s="108"/>
      <x:c r="F10" s="108"/>
      <x:c r="G10" s="129"/>
      <x:c r="H10" s="129"/>
      <x:c r="I10" s="108"/>
      <x:c r="J10" s="108"/>
      <x:c r="K10" s="108"/>
      <x:c r="L10" s="108"/>
      <x:c r="M10" s="109"/>
    </x:row>
    <x:row r="11" ht="36" customHeight="1">
      <x:c r="A11" s="107"/>
      <x:c r="B11" s="108"/>
      <x:c r="C11" s="108"/>
      <x:c r="D11" s="108"/>
      <x:c r="E11" s="108"/>
      <x:c r="F11" s="108"/>
      <x:c r="G11" s="129"/>
      <x:c r="H11" s="129"/>
      <x:c r="I11" s="108"/>
      <x:c r="J11" s="108"/>
      <x:c r="K11" s="108"/>
      <x:c r="L11" s="108"/>
      <x:c r="M11" s="109"/>
    </x:row>
    <x:row r="12" ht="36" customHeight="1">
      <x:c r="A12" s="107"/>
      <x:c r="B12" s="108"/>
      <x:c r="C12" s="108"/>
      <x:c r="D12" s="108"/>
      <x:c r="E12" s="108"/>
      <x:c r="F12" s="108"/>
      <x:c r="G12" s="129"/>
      <x:c r="H12" s="129"/>
      <x:c r="I12" s="108"/>
      <x:c r="J12" s="108"/>
      <x:c r="K12" s="108"/>
      <x:c r="L12" s="108"/>
      <x:c r="M12" s="109"/>
    </x:row>
    <x:row r="13" ht="36" customHeight="1">
      <x:c r="A13" s="107"/>
      <x:c r="B13" s="108"/>
      <x:c r="C13" s="108"/>
      <x:c r="D13" s="108"/>
      <x:c r="E13" s="108"/>
      <x:c r="F13" s="108"/>
      <x:c r="G13" s="129"/>
      <x:c r="H13" s="129"/>
      <x:c r="I13" s="108"/>
      <x:c r="J13" s="108"/>
      <x:c r="K13" s="108"/>
      <x:c r="L13" s="108"/>
      <x:c r="M13" s="109"/>
    </x:row>
    <x:row r="14" ht="36" customHeight="1">
      <x:c r="A14" s="107"/>
      <x:c r="B14" s="108"/>
      <x:c r="C14" s="108"/>
      <x:c r="D14" s="108"/>
      <x:c r="E14" s="108"/>
      <x:c r="F14" s="108"/>
      <x:c r="G14" s="129"/>
      <x:c r="H14" s="129"/>
      <x:c r="I14" s="108"/>
      <x:c r="J14" s="108"/>
      <x:c r="K14" s="108"/>
      <x:c r="L14" s="108"/>
      <x:c r="M14" s="109"/>
    </x:row>
    <x:row r="15" ht="36" customHeight="1">
      <x:c r="A15" s="107"/>
      <x:c r="B15" s="108"/>
      <x:c r="C15" s="108"/>
      <x:c r="D15" s="108"/>
      <x:c r="E15" s="108"/>
      <x:c r="F15" s="108"/>
      <x:c r="G15" s="129"/>
      <x:c r="H15" s="129"/>
      <x:c r="I15" s="108"/>
      <x:c r="J15" s="108"/>
      <x:c r="K15" s="108"/>
      <x:c r="L15" s="108"/>
      <x:c r="M15" s="109"/>
    </x:row>
    <x:row r="16" ht="36" customHeight="1">
      <x:c r="A16" s="107"/>
      <x:c r="B16" s="108"/>
      <x:c r="C16" s="108"/>
      <x:c r="D16" s="108"/>
      <x:c r="E16" s="108"/>
      <x:c r="F16" s="108"/>
      <x:c r="G16" s="129"/>
      <x:c r="H16" s="129"/>
      <x:c r="I16" s="108"/>
      <x:c r="J16" s="108"/>
      <x:c r="K16" s="108"/>
      <x:c r="L16" s="108"/>
      <x:c r="M16" s="109"/>
    </x:row>
    <x:row r="17" ht="36" customHeight="1">
      <x:c r="A17" s="107"/>
      <x:c r="B17" s="108"/>
      <x:c r="C17" s="108"/>
      <x:c r="D17" s="108"/>
      <x:c r="E17" s="108"/>
      <x:c r="F17" s="108"/>
      <x:c r="G17" s="129"/>
      <x:c r="H17" s="129"/>
      <x:c r="I17" s="108"/>
      <x:c r="J17" s="108"/>
      <x:c r="K17" s="108"/>
      <x:c r="L17" s="108"/>
      <x:c r="M17" s="109"/>
    </x:row>
    <x:row r="18" ht="36" customHeight="1">
      <x:c r="A18" s="107"/>
      <x:c r="B18" s="108"/>
      <x:c r="C18" s="108"/>
      <x:c r="D18" s="108"/>
      <x:c r="E18" s="108"/>
      <x:c r="F18" s="108"/>
      <x:c r="G18" s="129"/>
      <x:c r="H18" s="129"/>
      <x:c r="I18" s="108"/>
      <x:c r="J18" s="108"/>
      <x:c r="K18" s="108"/>
      <x:c r="L18" s="108"/>
      <x:c r="M18" s="109"/>
    </x:row>
    <x:row r="19" ht="36" customHeight="1">
      <x:c r="A19" s="107"/>
      <x:c r="B19" s="108"/>
      <x:c r="C19" s="108"/>
      <x:c r="D19" s="108"/>
      <x:c r="E19" s="108"/>
      <x:c r="F19" s="108"/>
      <x:c r="G19" s="129"/>
      <x:c r="H19" s="129"/>
      <x:c r="I19" s="108"/>
      <x:c r="J19" s="108"/>
      <x:c r="K19" s="108"/>
      <x:c r="L19" s="108"/>
      <x:c r="M19" s="109"/>
    </x:row>
    <x:row r="20" ht="36" customHeight="1">
      <x:c r="A20" s="107"/>
      <x:c r="B20" s="108"/>
      <x:c r="C20" s="108"/>
      <x:c r="D20" s="108"/>
      <x:c r="E20" s="108"/>
      <x:c r="F20" s="108"/>
      <x:c r="G20" s="129"/>
      <x:c r="H20" s="129"/>
      <x:c r="I20" s="108"/>
      <x:c r="J20" s="108"/>
      <x:c r="K20" s="108"/>
      <x:c r="L20" s="108"/>
      <x:c r="M20" s="109"/>
    </x:row>
    <x:row r="21" ht="36" customHeight="1">
      <x:c r="A21" s="107"/>
      <x:c r="B21" s="108"/>
      <x:c r="C21" s="108"/>
      <x:c r="D21" s="108"/>
      <x:c r="E21" s="108"/>
      <x:c r="F21" s="108"/>
      <x:c r="G21" s="129"/>
      <x:c r="H21" s="129"/>
      <x:c r="I21" s="108"/>
      <x:c r="J21" s="108"/>
      <x:c r="K21" s="108"/>
      <x:c r="L21" s="108"/>
      <x:c r="M21" s="109"/>
    </x:row>
    <x:row r="22" ht="36" customHeight="1">
      <x:c r="A22" s="107"/>
      <x:c r="B22" s="108"/>
      <x:c r="C22" s="108"/>
      <x:c r="D22" s="108"/>
      <x:c r="E22" s="108"/>
      <x:c r="F22" s="108"/>
      <x:c r="G22" s="129"/>
      <x:c r="H22" s="129"/>
      <x:c r="I22" s="108"/>
      <x:c r="J22" s="108"/>
      <x:c r="K22" s="108"/>
      <x:c r="L22" s="108"/>
      <x:c r="M22" s="109"/>
    </x:row>
    <x:row r="23" ht="36" customHeight="1">
      <x:c r="A23" s="107"/>
      <x:c r="B23" s="108"/>
      <x:c r="C23" s="108"/>
      <x:c r="D23" s="108"/>
      <x:c r="E23" s="108"/>
      <x:c r="F23" s="108"/>
      <x:c r="G23" s="129"/>
      <x:c r="H23" s="129"/>
      <x:c r="I23" s="108"/>
      <x:c r="J23" s="108"/>
      <x:c r="K23" s="108"/>
      <x:c r="L23" s="108"/>
      <x:c r="M23" s="109"/>
    </x:row>
    <x:row r="24" ht="36" customHeight="1">
      <x:c r="A24" s="107"/>
      <x:c r="B24" s="108"/>
      <x:c r="C24" s="108"/>
      <x:c r="D24" s="108"/>
      <x:c r="E24" s="108"/>
      <x:c r="F24" s="108"/>
      <x:c r="G24" s="129"/>
      <x:c r="H24" s="129"/>
      <x:c r="I24" s="108"/>
      <x:c r="J24" s="108"/>
      <x:c r="K24" s="108"/>
      <x:c r="L24" s="108"/>
      <x:c r="M24" s="109"/>
    </x:row>
    <x:row r="25" ht="36" customHeight="1">
      <x:c r="A25" s="107"/>
      <x:c r="B25" s="108"/>
      <x:c r="C25" s="108"/>
      <x:c r="D25" s="108"/>
      <x:c r="E25" s="108"/>
      <x:c r="F25" s="108"/>
      <x:c r="G25" s="129"/>
      <x:c r="H25" s="129"/>
      <x:c r="I25" s="108"/>
      <x:c r="J25" s="108"/>
      <x:c r="K25" s="108"/>
      <x:c r="L25" s="108"/>
      <x:c r="M25" s="109"/>
    </x:row>
    <x:row r="26" ht="36" customHeight="1">
      <x:c r="A26" s="107"/>
      <x:c r="B26" s="108"/>
      <x:c r="C26" s="108"/>
      <x:c r="D26" s="108"/>
      <x:c r="E26" s="108"/>
      <x:c r="F26" s="108"/>
      <x:c r="G26" s="129"/>
      <x:c r="H26" s="129"/>
      <x:c r="I26" s="108"/>
      <x:c r="J26" s="108"/>
      <x:c r="K26" s="108"/>
      <x:c r="L26" s="108"/>
      <x:c r="M26" s="109"/>
    </x:row>
    <x:row r="27" ht="36" customHeight="1">
      <x:c r="A27" s="107"/>
      <x:c r="B27" s="108"/>
      <x:c r="C27" s="108"/>
      <x:c r="D27" s="108"/>
      <x:c r="E27" s="108"/>
      <x:c r="F27" s="108"/>
      <x:c r="G27" s="129"/>
      <x:c r="H27" s="129"/>
      <x:c r="I27" s="108"/>
      <x:c r="J27" s="108"/>
      <x:c r="K27" s="108"/>
      <x:c r="L27" s="108"/>
      <x:c r="M27" s="109"/>
    </x:row>
    <x:row r="28" ht="36" customHeight="1">
      <x:c r="A28" s="107"/>
      <x:c r="B28" s="108"/>
      <x:c r="C28" s="108"/>
      <x:c r="D28" s="108"/>
      <x:c r="E28" s="108"/>
      <x:c r="F28" s="108"/>
      <x:c r="G28" s="129"/>
      <x:c r="H28" s="129"/>
      <x:c r="I28" s="108"/>
      <x:c r="J28" s="108"/>
      <x:c r="K28" s="108"/>
      <x:c r="L28" s="108"/>
      <x:c r="M28" s="109"/>
    </x:row>
    <x:row r="29" ht="36" customHeight="1">
      <x:c r="A29" s="107"/>
      <x:c r="B29" s="108"/>
      <x:c r="C29" s="108"/>
      <x:c r="D29" s="108"/>
      <x:c r="E29" s="108"/>
      <x:c r="F29" s="108"/>
      <x:c r="G29" s="129"/>
      <x:c r="H29" s="129"/>
      <x:c r="I29" s="108"/>
      <x:c r="J29" s="108"/>
      <x:c r="K29" s="108"/>
      <x:c r="L29" s="108"/>
      <x:c r="M29" s="109"/>
    </x:row>
    <x:row r="30" ht="36" customHeight="1">
      <x:c r="A30" s="107"/>
      <x:c r="B30" s="108"/>
      <x:c r="C30" s="108"/>
      <x:c r="D30" s="108"/>
      <x:c r="E30" s="108"/>
      <x:c r="F30" s="108"/>
      <x:c r="G30" s="129"/>
      <x:c r="H30" s="129"/>
      <x:c r="I30" s="108"/>
      <x:c r="J30" s="108"/>
      <x:c r="K30" s="108"/>
      <x:c r="L30" s="108"/>
      <x:c r="M30" s="109"/>
    </x:row>
    <x:row r="31" ht="36" customHeight="1">
      <x:c r="A31" s="107"/>
      <x:c r="B31" s="108"/>
      <x:c r="C31" s="108"/>
      <x:c r="D31" s="108"/>
      <x:c r="E31" s="108"/>
      <x:c r="F31" s="108"/>
      <x:c r="G31" s="129"/>
      <x:c r="H31" s="129"/>
      <x:c r="I31" s="108"/>
      <x:c r="J31" s="108"/>
      <x:c r="K31" s="108"/>
      <x:c r="L31" s="108"/>
      <x:c r="M31" s="109"/>
    </x:row>
    <x:row r="32" ht="36" customHeight="1">
      <x:c r="A32" s="107"/>
      <x:c r="B32" s="108"/>
      <x:c r="C32" s="108"/>
      <x:c r="D32" s="108"/>
      <x:c r="E32" s="108"/>
      <x:c r="F32" s="108"/>
      <x:c r="G32" s="129"/>
      <x:c r="H32" s="129"/>
      <x:c r="I32" s="108"/>
      <x:c r="J32" s="108"/>
      <x:c r="K32" s="108"/>
      <x:c r="L32" s="108"/>
      <x:c r="M32" s="109"/>
    </x:row>
    <x:row r="33" ht="36" customHeight="1">
      <x:c r="A33" s="107"/>
      <x:c r="B33" s="108"/>
      <x:c r="C33" s="108"/>
      <x:c r="D33" s="108"/>
      <x:c r="E33" s="108"/>
      <x:c r="F33" s="108"/>
      <x:c r="G33" s="129"/>
      <x:c r="H33" s="129"/>
      <x:c r="I33" s="108"/>
      <x:c r="J33" s="108"/>
      <x:c r="K33" s="108"/>
      <x:c r="L33" s="108"/>
      <x:c r="M33" s="109"/>
    </x:row>
    <x:row r="34" ht="36" customHeight="1">
      <x:c r="A34" s="107"/>
      <x:c r="B34" s="108"/>
      <x:c r="C34" s="108"/>
      <x:c r="D34" s="108"/>
      <x:c r="E34" s="108"/>
      <x:c r="F34" s="108"/>
      <x:c r="G34" s="129"/>
      <x:c r="H34" s="129"/>
      <x:c r="I34" s="108"/>
      <x:c r="J34" s="108"/>
      <x:c r="K34" s="108"/>
      <x:c r="L34" s="108"/>
      <x:c r="M34" s="109"/>
    </x:row>
    <x:row r="35" ht="36" customHeight="1">
      <x:c r="A35" s="107"/>
      <x:c r="B35" s="108"/>
      <x:c r="C35" s="108"/>
      <x:c r="D35" s="108"/>
      <x:c r="E35" s="108"/>
      <x:c r="F35" s="108"/>
      <x:c r="G35" s="129"/>
      <x:c r="H35" s="129"/>
      <x:c r="I35" s="108"/>
      <x:c r="J35" s="108"/>
      <x:c r="K35" s="108"/>
      <x:c r="L35" s="108"/>
      <x:c r="M35" s="109"/>
    </x:row>
    <x:row r="36" ht="36" customHeight="1">
      <x:c r="A36" s="107"/>
      <x:c r="B36" s="108"/>
      <x:c r="C36" s="108"/>
      <x:c r="D36" s="108"/>
      <x:c r="E36" s="108"/>
      <x:c r="F36" s="108"/>
      <x:c r="G36" s="129"/>
      <x:c r="H36" s="129"/>
      <x:c r="I36" s="108"/>
      <x:c r="J36" s="108"/>
      <x:c r="K36" s="108"/>
      <x:c r="L36" s="108"/>
      <x:c r="M36" s="109"/>
    </x:row>
    <x:row r="37" ht="36" customHeight="1">
      <x:c r="A37" s="107"/>
      <x:c r="B37" s="108"/>
      <x:c r="C37" s="108"/>
      <x:c r="D37" s="108"/>
      <x:c r="E37" s="108"/>
      <x:c r="F37" s="108"/>
      <x:c r="G37" s="129"/>
      <x:c r="H37" s="129"/>
      <x:c r="I37" s="108"/>
      <x:c r="J37" s="108"/>
      <x:c r="K37" s="108"/>
      <x:c r="L37" s="108"/>
      <x:c r="M37" s="109"/>
    </x:row>
    <x:row r="38" ht="36" customHeight="1">
      <x:c r="A38" s="107"/>
      <x:c r="B38" s="108"/>
      <x:c r="C38" s="108"/>
      <x:c r="D38" s="108"/>
      <x:c r="E38" s="108"/>
      <x:c r="F38" s="108"/>
      <x:c r="G38" s="129"/>
      <x:c r="H38" s="129"/>
      <x:c r="I38" s="108"/>
      <x:c r="J38" s="108"/>
      <x:c r="K38" s="108"/>
      <x:c r="L38" s="108"/>
      <x:c r="M38" s="109"/>
    </x:row>
    <x:row r="39" ht="36" customHeight="1">
      <x:c r="A39" s="107"/>
      <x:c r="B39" s="108"/>
      <x:c r="C39" s="108"/>
      <x:c r="D39" s="108"/>
      <x:c r="E39" s="108"/>
      <x:c r="F39" s="108"/>
      <x:c r="G39" s="129"/>
      <x:c r="H39" s="129"/>
      <x:c r="I39" s="108"/>
      <x:c r="J39" s="108"/>
      <x:c r="K39" s="108"/>
      <x:c r="L39" s="108"/>
      <x:c r="M39" s="109"/>
    </x:row>
    <x:row r="40" ht="36" customHeight="1">
      <x:c r="A40" s="107"/>
      <x:c r="B40" s="108"/>
      <x:c r="C40" s="108"/>
      <x:c r="D40" s="108"/>
      <x:c r="E40" s="108"/>
      <x:c r="F40" s="108"/>
      <x:c r="G40" s="129"/>
      <x:c r="H40" s="129"/>
      <x:c r="I40" s="108"/>
      <x:c r="J40" s="108"/>
      <x:c r="K40" s="108"/>
      <x:c r="L40" s="108"/>
      <x:c r="M40" s="109"/>
    </x:row>
    <x:row r="41" ht="36" customHeight="1">
      <x:c r="A41" s="107"/>
      <x:c r="B41" s="108"/>
      <x:c r="C41" s="108"/>
      <x:c r="D41" s="108"/>
      <x:c r="E41" s="108"/>
      <x:c r="F41" s="108"/>
      <x:c r="G41" s="129"/>
      <x:c r="H41" s="129"/>
      <x:c r="I41" s="108"/>
      <x:c r="J41" s="108"/>
      <x:c r="K41" s="108"/>
      <x:c r="L41" s="108"/>
      <x:c r="M41" s="109"/>
    </x:row>
    <x:row r="42" ht="36" customHeight="1">
      <x:c r="A42" s="107"/>
      <x:c r="B42" s="108"/>
      <x:c r="C42" s="108"/>
      <x:c r="D42" s="108"/>
      <x:c r="E42" s="108"/>
      <x:c r="F42" s="108"/>
      <x:c r="G42" s="129"/>
      <x:c r="H42" s="129"/>
      <x:c r="I42" s="108"/>
      <x:c r="J42" s="108"/>
      <x:c r="K42" s="108"/>
      <x:c r="L42" s="108"/>
      <x:c r="M42" s="109"/>
    </x:row>
    <x:row r="43" ht="36" customHeight="1">
      <x:c r="A43" s="107"/>
      <x:c r="B43" s="108"/>
      <x:c r="C43" s="108"/>
      <x:c r="D43" s="108"/>
      <x:c r="E43" s="108"/>
      <x:c r="F43" s="108"/>
      <x:c r="G43" s="129"/>
      <x:c r="H43" s="129"/>
      <x:c r="I43" s="108"/>
      <x:c r="J43" s="108"/>
      <x:c r="K43" s="108"/>
      <x:c r="L43" s="108"/>
      <x:c r="M43" s="109"/>
    </x:row>
    <x:row r="44" ht="36" customHeight="1">
      <x:c r="A44" s="107"/>
      <x:c r="B44" s="108"/>
      <x:c r="C44" s="108"/>
      <x:c r="D44" s="108"/>
      <x:c r="E44" s="108"/>
      <x:c r="F44" s="108"/>
      <x:c r="G44" s="129"/>
      <x:c r="H44" s="129"/>
      <x:c r="I44" s="108"/>
      <x:c r="J44" s="108"/>
      <x:c r="K44" s="108"/>
      <x:c r="L44" s="108"/>
      <x:c r="M44" s="109"/>
    </x:row>
    <x:row r="45" ht="36" customHeight="1">
      <x:c r="A45" s="107"/>
      <x:c r="B45" s="108"/>
      <x:c r="C45" s="108"/>
      <x:c r="D45" s="108"/>
      <x:c r="E45" s="108"/>
      <x:c r="F45" s="108"/>
      <x:c r="G45" s="129"/>
      <x:c r="H45" s="129"/>
      <x:c r="I45" s="108"/>
      <x:c r="J45" s="108"/>
      <x:c r="K45" s="108"/>
      <x:c r="L45" s="108"/>
      <x:c r="M45" s="109"/>
    </x:row>
    <x:row r="46" ht="36" customHeight="1">
      <x:c r="A46" s="107"/>
      <x:c r="B46" s="108"/>
      <x:c r="C46" s="108"/>
      <x:c r="D46" s="108"/>
      <x:c r="E46" s="108"/>
      <x:c r="F46" s="108"/>
      <x:c r="G46" s="129"/>
      <x:c r="H46" s="129"/>
      <x:c r="I46" s="108"/>
      <x:c r="J46" s="108"/>
      <x:c r="K46" s="108"/>
      <x:c r="L46" s="108"/>
      <x:c r="M46" s="109"/>
    </x:row>
    <x:row r="47" ht="36" customHeight="1">
      <x:c r="A47" s="107"/>
      <x:c r="B47" s="108"/>
      <x:c r="C47" s="108"/>
      <x:c r="D47" s="108"/>
      <x:c r="E47" s="108"/>
      <x:c r="F47" s="108"/>
      <x:c r="G47" s="129"/>
      <x:c r="H47" s="129"/>
      <x:c r="I47" s="108"/>
      <x:c r="J47" s="108"/>
      <x:c r="K47" s="108"/>
      <x:c r="L47" s="108"/>
      <x:c r="M47" s="109"/>
    </x:row>
    <x:row r="48" ht="36" customHeight="1">
      <x:c r="A48" s="107"/>
      <x:c r="B48" s="108"/>
      <x:c r="C48" s="108"/>
      <x:c r="D48" s="108"/>
      <x:c r="E48" s="108"/>
      <x:c r="F48" s="108"/>
      <x:c r="G48" s="129"/>
      <x:c r="H48" s="129"/>
      <x:c r="I48" s="108"/>
      <x:c r="J48" s="108"/>
      <x:c r="K48" s="108"/>
      <x:c r="L48" s="108"/>
      <x:c r="M48" s="109"/>
    </x:row>
    <x:row r="49" ht="36" customHeight="1">
      <x:c r="A49" s="107"/>
      <x:c r="B49" s="108"/>
      <x:c r="C49" s="108"/>
      <x:c r="D49" s="108"/>
      <x:c r="E49" s="108"/>
      <x:c r="F49" s="108"/>
      <x:c r="G49" s="129"/>
      <x:c r="H49" s="129"/>
      <x:c r="I49" s="108"/>
      <x:c r="J49" s="108"/>
      <x:c r="K49" s="108"/>
      <x:c r="L49" s="108"/>
      <x:c r="M49" s="109"/>
    </x:row>
    <x:row r="50" ht="36" customHeight="1">
      <x:c r="A50" s="107"/>
      <x:c r="B50" s="108"/>
      <x:c r="C50" s="108"/>
      <x:c r="D50" s="108"/>
      <x:c r="E50" s="108"/>
      <x:c r="F50" s="108"/>
      <x:c r="G50" s="129"/>
      <x:c r="H50" s="129"/>
      <x:c r="I50" s="108"/>
      <x:c r="J50" s="108"/>
      <x:c r="K50" s="108"/>
      <x:c r="L50" s="108"/>
      <x:c r="M50" s="109"/>
    </x:row>
    <x:row r="51" ht="36" customHeight="1">
      <x:c r="A51" s="107"/>
      <x:c r="B51" s="108"/>
      <x:c r="C51" s="108"/>
      <x:c r="D51" s="108"/>
      <x:c r="E51" s="108"/>
      <x:c r="F51" s="108"/>
      <x:c r="G51" s="129"/>
      <x:c r="H51" s="129"/>
      <x:c r="I51" s="108"/>
      <x:c r="J51" s="108"/>
      <x:c r="K51" s="108"/>
      <x:c r="L51" s="108"/>
      <x:c r="M51" s="109"/>
    </x:row>
    <x:row r="52" ht="36" customHeight="1">
      <x:c r="A52" s="107"/>
      <x:c r="B52" s="108"/>
      <x:c r="C52" s="108"/>
      <x:c r="D52" s="108"/>
      <x:c r="E52" s="108"/>
      <x:c r="F52" s="108"/>
      <x:c r="G52" s="129"/>
      <x:c r="H52" s="129"/>
      <x:c r="I52" s="108"/>
      <x:c r="J52" s="108"/>
      <x:c r="K52" s="108"/>
      <x:c r="L52" s="108"/>
      <x:c r="M52" s="109"/>
    </x:row>
    <x:row r="53" ht="36" customHeight="1">
      <x:c r="A53" s="107"/>
      <x:c r="B53" s="108"/>
      <x:c r="C53" s="108"/>
      <x:c r="D53" s="108"/>
      <x:c r="E53" s="108"/>
      <x:c r="F53" s="108"/>
      <x:c r="G53" s="129"/>
      <x:c r="H53" s="129"/>
      <x:c r="I53" s="108"/>
      <x:c r="J53" s="108"/>
      <x:c r="K53" s="108"/>
      <x:c r="L53" s="108"/>
      <x:c r="M53" s="109"/>
    </x:row>
    <x:row r="54" ht="36" customHeight="1">
      <x:c r="A54" s="107"/>
      <x:c r="B54" s="108"/>
      <x:c r="C54" s="108"/>
      <x:c r="D54" s="108"/>
      <x:c r="E54" s="108"/>
      <x:c r="F54" s="108"/>
      <x:c r="G54" s="129"/>
      <x:c r="H54" s="129"/>
      <x:c r="I54" s="108"/>
      <x:c r="J54" s="108"/>
      <x:c r="K54" s="108"/>
      <x:c r="L54" s="108"/>
      <x:c r="M54" s="109"/>
    </x:row>
    <x:row r="55" ht="36" customHeight="1">
      <x:c r="A55" s="107"/>
      <x:c r="B55" s="108"/>
      <x:c r="C55" s="108"/>
      <x:c r="D55" s="108"/>
      <x:c r="E55" s="108"/>
      <x:c r="F55" s="108"/>
      <x:c r="G55" s="129"/>
      <x:c r="H55" s="129"/>
      <x:c r="I55" s="108"/>
      <x:c r="J55" s="108"/>
      <x:c r="K55" s="108"/>
      <x:c r="L55" s="108"/>
      <x:c r="M55" s="109"/>
    </x:row>
    <x:row r="56" ht="36" customHeight="1">
      <x:c r="A56" s="107"/>
      <x:c r="B56" s="108"/>
      <x:c r="C56" s="108"/>
      <x:c r="D56" s="108"/>
      <x:c r="E56" s="108"/>
      <x:c r="F56" s="108"/>
      <x:c r="G56" s="129"/>
      <x:c r="H56" s="129"/>
      <x:c r="I56" s="108"/>
      <x:c r="J56" s="108"/>
      <x:c r="K56" s="108"/>
      <x:c r="L56" s="108"/>
      <x:c r="M56" s="109"/>
    </x:row>
    <x:row r="57" ht="36" customHeight="1">
      <x:c r="A57" s="107"/>
      <x:c r="B57" s="108"/>
      <x:c r="C57" s="108"/>
      <x:c r="D57" s="108"/>
      <x:c r="E57" s="108"/>
      <x:c r="F57" s="108"/>
      <x:c r="G57" s="129"/>
      <x:c r="H57" s="129"/>
      <x:c r="I57" s="108"/>
      <x:c r="J57" s="108"/>
      <x:c r="K57" s="108"/>
      <x:c r="L57" s="108"/>
      <x:c r="M57" s="109"/>
    </x:row>
    <x:row r="58" ht="36" customHeight="1">
      <x:c r="A58" s="107"/>
      <x:c r="B58" s="108"/>
      <x:c r="C58" s="108"/>
      <x:c r="D58" s="108"/>
      <x:c r="E58" s="108"/>
      <x:c r="F58" s="108"/>
      <x:c r="G58" s="129"/>
      <x:c r="H58" s="129"/>
      <x:c r="I58" s="108"/>
      <x:c r="J58" s="108"/>
      <x:c r="K58" s="108"/>
      <x:c r="L58" s="108"/>
      <x:c r="M58" s="109"/>
    </x:row>
    <x:row r="59" ht="36" customHeight="1">
      <x:c r="A59" s="107"/>
      <x:c r="B59" s="108"/>
      <x:c r="C59" s="108"/>
      <x:c r="D59" s="108"/>
      <x:c r="E59" s="108"/>
      <x:c r="F59" s="108"/>
      <x:c r="G59" s="129"/>
      <x:c r="H59" s="129"/>
      <x:c r="I59" s="108"/>
      <x:c r="J59" s="108"/>
      <x:c r="K59" s="108"/>
      <x:c r="L59" s="108"/>
      <x:c r="M59" s="109"/>
    </x:row>
    <x:row r="60" ht="36" customHeight="1">
      <x:c r="A60" s="107"/>
      <x:c r="B60" s="108"/>
      <x:c r="C60" s="108"/>
      <x:c r="D60" s="108"/>
      <x:c r="E60" s="108"/>
      <x:c r="F60" s="108"/>
      <x:c r="G60" s="129"/>
      <x:c r="H60" s="129"/>
      <x:c r="I60" s="108"/>
      <x:c r="J60" s="108"/>
      <x:c r="K60" s="108"/>
      <x:c r="L60" s="108"/>
      <x:c r="M60" s="109"/>
    </x:row>
    <x:row r="61" ht="36" customHeight="1">
      <x:c r="A61" s="107"/>
      <x:c r="B61" s="108"/>
      <x:c r="C61" s="108"/>
      <x:c r="D61" s="108"/>
      <x:c r="E61" s="108"/>
      <x:c r="F61" s="108"/>
      <x:c r="G61" s="129"/>
      <x:c r="H61" s="129"/>
      <x:c r="I61" s="108"/>
      <x:c r="J61" s="108"/>
      <x:c r="K61" s="108"/>
      <x:c r="L61" s="108"/>
      <x:c r="M61" s="109"/>
    </x:row>
    <x:row r="62" ht="36" customHeight="1">
      <x:c r="A62" s="107"/>
      <x:c r="B62" s="108"/>
      <x:c r="C62" s="108"/>
      <x:c r="D62" s="108"/>
      <x:c r="E62" s="108"/>
      <x:c r="F62" s="108"/>
      <x:c r="G62" s="129"/>
      <x:c r="H62" s="129"/>
      <x:c r="I62" s="108"/>
      <x:c r="J62" s="108"/>
      <x:c r="K62" s="108"/>
      <x:c r="L62" s="108"/>
      <x:c r="M62" s="109"/>
    </x:row>
    <x:row r="63" ht="36" customHeight="1">
      <x:c r="A63" s="107"/>
      <x:c r="B63" s="108"/>
      <x:c r="C63" s="108"/>
      <x:c r="D63" s="108"/>
      <x:c r="E63" s="108"/>
      <x:c r="F63" s="108"/>
      <x:c r="G63" s="129"/>
      <x:c r="H63" s="129"/>
      <x:c r="I63" s="108"/>
      <x:c r="J63" s="108"/>
      <x:c r="K63" s="108"/>
      <x:c r="L63" s="108"/>
      <x:c r="M63" s="109"/>
    </x:row>
    <x:row r="64" ht="36" customHeight="1">
      <x:c r="A64" s="107"/>
      <x:c r="B64" s="108"/>
      <x:c r="C64" s="108"/>
      <x:c r="D64" s="108"/>
      <x:c r="E64" s="108"/>
      <x:c r="F64" s="108"/>
      <x:c r="G64" s="129"/>
      <x:c r="H64" s="129"/>
      <x:c r="I64" s="108"/>
      <x:c r="J64" s="108"/>
      <x:c r="K64" s="108"/>
      <x:c r="L64" s="108"/>
      <x:c r="M64" s="109"/>
    </x:row>
    <x:row r="65" ht="36" customHeight="1">
      <x:c r="A65" s="107"/>
      <x:c r="B65" s="108"/>
      <x:c r="C65" s="108"/>
      <x:c r="D65" s="108"/>
      <x:c r="E65" s="108"/>
      <x:c r="F65" s="108"/>
      <x:c r="G65" s="129"/>
      <x:c r="H65" s="129"/>
      <x:c r="I65" s="108"/>
      <x:c r="J65" s="108"/>
      <x:c r="K65" s="108"/>
      <x:c r="L65" s="108"/>
      <x:c r="M65" s="109"/>
    </x:row>
    <x:row r="66" ht="36" customHeight="1">
      <x:c r="A66" s="107"/>
      <x:c r="B66" s="108"/>
      <x:c r="C66" s="108"/>
      <x:c r="D66" s="108"/>
      <x:c r="E66" s="108"/>
      <x:c r="F66" s="108"/>
      <x:c r="G66" s="129"/>
      <x:c r="H66" s="129"/>
      <x:c r="I66" s="108"/>
      <x:c r="J66" s="108"/>
      <x:c r="K66" s="108"/>
      <x:c r="L66" s="108"/>
      <x:c r="M66" s="109"/>
    </x:row>
    <x:row r="67" ht="36" customHeight="1">
      <x:c r="A67" s="107"/>
      <x:c r="B67" s="108"/>
      <x:c r="C67" s="108"/>
      <x:c r="D67" s="108"/>
      <x:c r="E67" s="108"/>
      <x:c r="F67" s="108"/>
      <x:c r="G67" s="129"/>
      <x:c r="H67" s="129"/>
      <x:c r="I67" s="108"/>
      <x:c r="J67" s="108"/>
      <x:c r="K67" s="108"/>
      <x:c r="L67" s="108"/>
      <x:c r="M67" s="109"/>
    </x:row>
    <x:row r="68" ht="36" customHeight="1">
      <x:c r="A68" s="107"/>
      <x:c r="B68" s="108"/>
      <x:c r="C68" s="108"/>
      <x:c r="D68" s="108"/>
      <x:c r="E68" s="108"/>
      <x:c r="F68" s="108"/>
      <x:c r="G68" s="129"/>
      <x:c r="H68" s="129"/>
      <x:c r="I68" s="108"/>
      <x:c r="J68" s="108"/>
      <x:c r="K68" s="108"/>
      <x:c r="L68" s="108"/>
      <x:c r="M68" s="109"/>
    </x:row>
    <x:row r="69" ht="36" customHeight="1">
      <x:c r="A69" s="107"/>
      <x:c r="B69" s="108"/>
      <x:c r="C69" s="108"/>
      <x:c r="D69" s="108"/>
      <x:c r="E69" s="108"/>
      <x:c r="F69" s="108"/>
      <x:c r="G69" s="129"/>
      <x:c r="H69" s="129"/>
      <x:c r="I69" s="108"/>
      <x:c r="J69" s="108"/>
      <x:c r="K69" s="108"/>
      <x:c r="L69" s="108"/>
      <x:c r="M69" s="109"/>
    </x:row>
    <x:row r="70" ht="36" customHeight="1">
      <x:c r="A70" s="107"/>
      <x:c r="B70" s="108"/>
      <x:c r="C70" s="108"/>
      <x:c r="D70" s="108"/>
      <x:c r="E70" s="108"/>
      <x:c r="F70" s="108"/>
      <x:c r="G70" s="129"/>
      <x:c r="H70" s="129"/>
      <x:c r="I70" s="108"/>
      <x:c r="J70" s="108"/>
      <x:c r="K70" s="108"/>
      <x:c r="L70" s="108"/>
      <x:c r="M70" s="109"/>
    </x:row>
    <x:row r="71" ht="36" customHeight="1">
      <x:c r="A71" s="107"/>
      <x:c r="B71" s="108"/>
      <x:c r="C71" s="108"/>
      <x:c r="D71" s="108"/>
      <x:c r="E71" s="108"/>
      <x:c r="F71" s="108"/>
      <x:c r="G71" s="129"/>
      <x:c r="H71" s="129"/>
      <x:c r="I71" s="108"/>
      <x:c r="J71" s="108"/>
      <x:c r="K71" s="108"/>
      <x:c r="L71" s="108"/>
      <x:c r="M71" s="109"/>
    </x:row>
    <x:row r="72" ht="36" customHeight="1">
      <x:c r="A72" s="107"/>
      <x:c r="B72" s="108"/>
      <x:c r="C72" s="108"/>
      <x:c r="D72" s="108"/>
      <x:c r="E72" s="108"/>
      <x:c r="F72" s="108"/>
      <x:c r="G72" s="129"/>
      <x:c r="H72" s="129"/>
      <x:c r="I72" s="108"/>
      <x:c r="J72" s="108"/>
      <x:c r="K72" s="108"/>
      <x:c r="L72" s="108"/>
      <x:c r="M72" s="109"/>
    </x:row>
    <x:row r="73" ht="36" customHeight="1">
      <x:c r="A73" s="107"/>
      <x:c r="B73" s="108"/>
      <x:c r="C73" s="108"/>
      <x:c r="D73" s="108"/>
      <x:c r="E73" s="108"/>
      <x:c r="F73" s="108"/>
      <x:c r="G73" s="129"/>
      <x:c r="H73" s="129"/>
      <x:c r="I73" s="108"/>
      <x:c r="J73" s="108"/>
      <x:c r="K73" s="108"/>
      <x:c r="L73" s="108"/>
      <x:c r="M73" s="109"/>
    </x:row>
    <x:row r="74" ht="36" customHeight="1">
      <x:c r="A74" s="107"/>
      <x:c r="B74" s="108"/>
      <x:c r="C74" s="108"/>
      <x:c r="D74" s="108"/>
      <x:c r="E74" s="108"/>
      <x:c r="F74" s="108"/>
      <x:c r="G74" s="129"/>
      <x:c r="H74" s="129"/>
      <x:c r="I74" s="108"/>
      <x:c r="J74" s="108"/>
      <x:c r="K74" s="108"/>
      <x:c r="L74" s="108"/>
      <x:c r="M74" s="109"/>
    </x:row>
    <x:row r="75" ht="36" customHeight="1">
      <x:c r="A75" s="107"/>
      <x:c r="B75" s="108"/>
      <x:c r="C75" s="108"/>
      <x:c r="D75" s="108"/>
      <x:c r="E75" s="108"/>
      <x:c r="F75" s="108"/>
      <x:c r="G75" s="129"/>
      <x:c r="H75" s="129"/>
      <x:c r="I75" s="108"/>
      <x:c r="J75" s="108"/>
      <x:c r="K75" s="108"/>
      <x:c r="L75" s="108"/>
      <x:c r="M75" s="109"/>
    </x:row>
    <x:row r="76" ht="36" customHeight="1">
      <x:c r="A76" s="107"/>
      <x:c r="B76" s="108"/>
      <x:c r="C76" s="108"/>
      <x:c r="D76" s="108"/>
      <x:c r="E76" s="108"/>
      <x:c r="F76" s="108"/>
      <x:c r="G76" s="129"/>
      <x:c r="H76" s="129"/>
      <x:c r="I76" s="108"/>
      <x:c r="J76" s="108"/>
      <x:c r="K76" s="108"/>
      <x:c r="L76" s="108"/>
      <x:c r="M76" s="109"/>
    </x:row>
    <x:row r="77" ht="36" customHeight="1">
      <x:c r="A77" s="107"/>
      <x:c r="B77" s="108"/>
      <x:c r="C77" s="108"/>
      <x:c r="D77" s="108"/>
      <x:c r="E77" s="108"/>
      <x:c r="F77" s="108"/>
      <x:c r="G77" s="129"/>
      <x:c r="H77" s="129"/>
      <x:c r="I77" s="108"/>
      <x:c r="J77" s="108"/>
      <x:c r="K77" s="108"/>
      <x:c r="L77" s="108"/>
      <x:c r="M77" s="109"/>
    </x:row>
    <x:row r="78" ht="36" customHeight="1">
      <x:c r="A78" s="107"/>
      <x:c r="B78" s="108"/>
      <x:c r="C78" s="108"/>
      <x:c r="D78" s="108"/>
      <x:c r="E78" s="108"/>
      <x:c r="F78" s="108"/>
      <x:c r="G78" s="129"/>
      <x:c r="H78" s="129"/>
      <x:c r="I78" s="108"/>
      <x:c r="J78" s="108"/>
      <x:c r="K78" s="108"/>
      <x:c r="L78" s="108"/>
      <x:c r="M78" s="109"/>
    </x:row>
    <x:row r="79" ht="36" customHeight="1">
      <x:c r="A79" s="107"/>
      <x:c r="B79" s="108"/>
      <x:c r="C79" s="108"/>
      <x:c r="D79" s="108"/>
      <x:c r="E79" s="108"/>
      <x:c r="F79" s="108"/>
      <x:c r="G79" s="129"/>
      <x:c r="H79" s="129"/>
      <x:c r="I79" s="108"/>
      <x:c r="J79" s="108"/>
      <x:c r="K79" s="108"/>
      <x:c r="L79" s="108"/>
      <x:c r="M79" s="109"/>
    </x:row>
    <x:row r="80" ht="36" customHeight="1">
      <x:c r="A80" s="107"/>
      <x:c r="B80" s="108"/>
      <x:c r="C80" s="108"/>
      <x:c r="D80" s="108"/>
      <x:c r="E80" s="108"/>
      <x:c r="F80" s="108"/>
      <x:c r="G80" s="129"/>
      <x:c r="H80" s="129"/>
      <x:c r="I80" s="108"/>
      <x:c r="J80" s="108"/>
      <x:c r="K80" s="108"/>
      <x:c r="L80" s="108"/>
      <x:c r="M80" s="109"/>
    </x:row>
    <x:row r="81" ht="36" customHeight="1">
      <x:c r="A81" s="107"/>
      <x:c r="B81" s="108"/>
      <x:c r="C81" s="108"/>
      <x:c r="D81" s="108"/>
      <x:c r="E81" s="108"/>
      <x:c r="F81" s="108"/>
      <x:c r="G81" s="129"/>
      <x:c r="H81" s="129"/>
      <x:c r="I81" s="108"/>
      <x:c r="J81" s="108"/>
      <x:c r="K81" s="108"/>
      <x:c r="L81" s="108"/>
      <x:c r="M81" s="109"/>
    </x:row>
    <x:row r="82" ht="36" customHeight="1">
      <x:c r="A82" s="107"/>
      <x:c r="B82" s="108"/>
      <x:c r="C82" s="108"/>
      <x:c r="D82" s="108"/>
      <x:c r="E82" s="108"/>
      <x:c r="F82" s="108"/>
      <x:c r="G82" s="129"/>
      <x:c r="H82" s="129"/>
      <x:c r="I82" s="108"/>
      <x:c r="J82" s="108"/>
      <x:c r="K82" s="108"/>
      <x:c r="L82" s="108"/>
      <x:c r="M82" s="109"/>
    </x:row>
    <x:row r="83" ht="36" customHeight="1">
      <x:c r="A83" s="107"/>
      <x:c r="B83" s="108"/>
      <x:c r="C83" s="108"/>
      <x:c r="D83" s="108"/>
      <x:c r="E83" s="108"/>
      <x:c r="F83" s="108"/>
      <x:c r="G83" s="129"/>
      <x:c r="H83" s="129"/>
      <x:c r="I83" s="108"/>
      <x:c r="J83" s="108"/>
      <x:c r="K83" s="108"/>
      <x:c r="L83" s="108"/>
      <x:c r="M83" s="109"/>
    </x:row>
    <x:row r="84" ht="36" customHeight="1">
      <x:c r="A84" s="107"/>
      <x:c r="B84" s="108"/>
      <x:c r="C84" s="108"/>
      <x:c r="D84" s="108"/>
      <x:c r="E84" s="108"/>
      <x:c r="F84" s="108"/>
      <x:c r="G84" s="129"/>
      <x:c r="H84" s="129"/>
      <x:c r="I84" s="108"/>
      <x:c r="J84" s="108"/>
      <x:c r="K84" s="108"/>
      <x:c r="L84" s="108"/>
      <x:c r="M84" s="109"/>
    </x:row>
    <x:row r="85" ht="36" customHeight="1">
      <x:c r="A85" s="107"/>
      <x:c r="B85" s="108"/>
      <x:c r="C85" s="108"/>
      <x:c r="D85" s="108"/>
      <x:c r="E85" s="108"/>
      <x:c r="F85" s="108"/>
      <x:c r="G85" s="129"/>
      <x:c r="H85" s="129"/>
      <x:c r="I85" s="108"/>
      <x:c r="J85" s="108"/>
      <x:c r="K85" s="108"/>
      <x:c r="L85" s="108"/>
      <x:c r="M85" s="109"/>
    </x:row>
    <x:row r="86" ht="36" customHeight="1">
      <x:c r="A86" s="107"/>
      <x:c r="B86" s="108"/>
      <x:c r="C86" s="108"/>
      <x:c r="D86" s="108"/>
      <x:c r="E86" s="108"/>
      <x:c r="F86" s="108"/>
      <x:c r="G86" s="129"/>
      <x:c r="H86" s="129"/>
      <x:c r="I86" s="108"/>
      <x:c r="J86" s="108"/>
      <x:c r="K86" s="108"/>
      <x:c r="L86" s="108"/>
      <x:c r="M86" s="109"/>
    </x:row>
    <x:row r="87" ht="36" customHeight="1">
      <x:c r="A87" s="107"/>
      <x:c r="B87" s="108"/>
      <x:c r="C87" s="108"/>
      <x:c r="D87" s="108"/>
      <x:c r="E87" s="108"/>
      <x:c r="F87" s="108"/>
      <x:c r="G87" s="129"/>
      <x:c r="H87" s="129"/>
      <x:c r="I87" s="108"/>
      <x:c r="J87" s="108"/>
      <x:c r="K87" s="108"/>
      <x:c r="L87" s="108"/>
      <x:c r="M87" s="109"/>
    </x:row>
    <x:row r="88" ht="36" customHeight="1">
      <x:c r="A88" s="107"/>
      <x:c r="B88" s="108"/>
      <x:c r="C88" s="108"/>
      <x:c r="D88" s="108"/>
      <x:c r="E88" s="108"/>
      <x:c r="F88" s="108"/>
      <x:c r="G88" s="129"/>
      <x:c r="H88" s="129"/>
      <x:c r="I88" s="108"/>
      <x:c r="J88" s="108"/>
      <x:c r="K88" s="108"/>
      <x:c r="L88" s="108"/>
      <x:c r="M88" s="109"/>
    </x:row>
    <x:row r="89" ht="36" customHeight="1">
      <x:c r="A89" s="107"/>
      <x:c r="B89" s="108"/>
      <x:c r="C89" s="108"/>
      <x:c r="D89" s="108"/>
      <x:c r="E89" s="108"/>
      <x:c r="F89" s="108"/>
      <x:c r="G89" s="129"/>
      <x:c r="H89" s="129"/>
      <x:c r="I89" s="108"/>
      <x:c r="J89" s="108"/>
      <x:c r="K89" s="108"/>
      <x:c r="L89" s="108"/>
      <x:c r="M89" s="109"/>
    </x:row>
    <x:row r="90" ht="36" customHeight="1">
      <x:c r="A90" s="107"/>
      <x:c r="B90" s="108"/>
      <x:c r="C90" s="108"/>
      <x:c r="D90" s="108"/>
      <x:c r="E90" s="108"/>
      <x:c r="F90" s="108"/>
      <x:c r="G90" s="129"/>
      <x:c r="H90" s="129"/>
      <x:c r="I90" s="108"/>
      <x:c r="J90" s="108"/>
      <x:c r="K90" s="108"/>
      <x:c r="L90" s="108"/>
      <x:c r="M90" s="109"/>
    </x:row>
    <x:row r="91" ht="36" customHeight="1">
      <x:c r="A91" s="107"/>
      <x:c r="B91" s="108"/>
      <x:c r="C91" s="108"/>
      <x:c r="D91" s="108"/>
      <x:c r="E91" s="108"/>
      <x:c r="F91" s="108"/>
      <x:c r="G91" s="129"/>
      <x:c r="H91" s="129"/>
      <x:c r="I91" s="108"/>
      <x:c r="J91" s="108"/>
      <x:c r="K91" s="108"/>
      <x:c r="L91" s="108"/>
      <x:c r="M91" s="109"/>
    </x:row>
    <x:row r="92" ht="36" customHeight="1">
      <x:c r="A92" s="107"/>
      <x:c r="B92" s="108"/>
      <x:c r="C92" s="108"/>
      <x:c r="D92" s="108"/>
      <x:c r="E92" s="108"/>
      <x:c r="F92" s="108"/>
      <x:c r="G92" s="129"/>
      <x:c r="H92" s="129"/>
      <x:c r="I92" s="108"/>
      <x:c r="J92" s="108"/>
      <x:c r="K92" s="108"/>
      <x:c r="L92" s="108"/>
      <x:c r="M92" s="109"/>
    </x:row>
    <x:row r="93" ht="36" customHeight="1">
      <x:c r="A93" s="107"/>
      <x:c r="B93" s="108"/>
      <x:c r="C93" s="108"/>
      <x:c r="D93" s="108"/>
      <x:c r="E93" s="108"/>
      <x:c r="F93" s="108"/>
      <x:c r="G93" s="129"/>
      <x:c r="H93" s="129"/>
      <x:c r="I93" s="108"/>
      <x:c r="J93" s="108"/>
      <x:c r="K93" s="108"/>
      <x:c r="L93" s="108"/>
      <x:c r="M93" s="109"/>
    </x:row>
    <x:row r="94" ht="36" customHeight="1">
      <x:c r="A94" s="107"/>
      <x:c r="B94" s="108"/>
      <x:c r="C94" s="108"/>
      <x:c r="D94" s="108"/>
      <x:c r="E94" s="108"/>
      <x:c r="F94" s="108"/>
      <x:c r="G94" s="129"/>
      <x:c r="H94" s="129"/>
      <x:c r="I94" s="108"/>
      <x:c r="J94" s="108"/>
      <x:c r="K94" s="108"/>
      <x:c r="L94" s="108"/>
      <x:c r="M94" s="109"/>
    </x:row>
    <x:row r="95" ht="36" customHeight="1">
      <x:c r="A95" s="107"/>
      <x:c r="B95" s="108"/>
      <x:c r="C95" s="108"/>
      <x:c r="D95" s="108"/>
      <x:c r="E95" s="108"/>
      <x:c r="F95" s="108"/>
      <x:c r="G95" s="129"/>
      <x:c r="H95" s="129"/>
      <x:c r="I95" s="108"/>
      <x:c r="J95" s="108"/>
      <x:c r="K95" s="108"/>
      <x:c r="L95" s="108"/>
      <x:c r="M95" s="109"/>
    </x:row>
    <x:row r="96" ht="36" customHeight="1">
      <x:c r="A96" s="107"/>
      <x:c r="B96" s="108"/>
      <x:c r="C96" s="108"/>
      <x:c r="D96" s="108"/>
      <x:c r="E96" s="108"/>
      <x:c r="F96" s="108"/>
      <x:c r="G96" s="129"/>
      <x:c r="H96" s="129"/>
      <x:c r="I96" s="108"/>
      <x:c r="J96" s="108"/>
      <x:c r="K96" s="108"/>
      <x:c r="L96" s="108"/>
      <x:c r="M96" s="109"/>
    </x:row>
    <x:row r="97" ht="36" customHeight="1">
      <x:c r="A97" s="107"/>
      <x:c r="B97" s="108"/>
      <x:c r="C97" s="108"/>
      <x:c r="D97" s="108"/>
      <x:c r="E97" s="108"/>
      <x:c r="F97" s="108"/>
      <x:c r="G97" s="129"/>
      <x:c r="H97" s="129"/>
      <x:c r="I97" s="108"/>
      <x:c r="J97" s="108"/>
      <x:c r="K97" s="108"/>
      <x:c r="L97" s="108"/>
      <x:c r="M97" s="109"/>
    </x:row>
    <x:row r="98" ht="36" customHeight="1">
      <x:c r="A98" s="107"/>
      <x:c r="B98" s="108"/>
      <x:c r="C98" s="108"/>
      <x:c r="D98" s="108"/>
      <x:c r="E98" s="108"/>
      <x:c r="F98" s="108"/>
      <x:c r="G98" s="129"/>
      <x:c r="H98" s="129"/>
      <x:c r="I98" s="108"/>
      <x:c r="J98" s="108"/>
      <x:c r="K98" s="108"/>
      <x:c r="L98" s="108"/>
      <x:c r="M98" s="109"/>
    </x:row>
    <x:row r="99" ht="36" customHeight="1">
      <x:c r="A99" s="107"/>
      <x:c r="B99" s="108"/>
      <x:c r="C99" s="108"/>
      <x:c r="D99" s="108"/>
      <x:c r="E99" s="108"/>
      <x:c r="F99" s="108"/>
      <x:c r="G99" s="129"/>
      <x:c r="H99" s="129"/>
      <x:c r="I99" s="108"/>
      <x:c r="J99" s="108"/>
      <x:c r="K99" s="108"/>
      <x:c r="L99" s="108"/>
      <x:c r="M99" s="109"/>
    </x:row>
    <x:row r="100" ht="36" customHeight="1">
      <x:c r="A100" s="107"/>
      <x:c r="B100" s="108"/>
      <x:c r="C100" s="108"/>
      <x:c r="D100" s="108"/>
      <x:c r="E100" s="108"/>
      <x:c r="F100" s="108"/>
      <x:c r="G100" s="129"/>
      <x:c r="H100" s="129"/>
      <x:c r="I100" s="108"/>
      <x:c r="J100" s="108"/>
      <x:c r="K100" s="108"/>
      <x:c r="L100" s="108"/>
      <x:c r="M100" s="109"/>
    </x:row>
    <x:row r="101" ht="36" customHeight="1">
      <x:c r="A101" s="107"/>
      <x:c r="B101" s="108"/>
      <x:c r="C101" s="108"/>
      <x:c r="D101" s="108"/>
      <x:c r="E101" s="108"/>
      <x:c r="F101" s="108"/>
      <x:c r="G101" s="129"/>
      <x:c r="H101" s="129"/>
      <x:c r="I101" s="108"/>
      <x:c r="J101" s="108"/>
      <x:c r="K101" s="108"/>
      <x:c r="L101" s="108"/>
      <x:c r="M101" s="109"/>
    </x:row>
    <x:row r="102" ht="36" customHeight="1">
      <x:c r="A102" s="107"/>
      <x:c r="B102" s="108"/>
      <x:c r="C102" s="108"/>
      <x:c r="D102" s="108"/>
      <x:c r="E102" s="108"/>
      <x:c r="F102" s="108"/>
      <x:c r="G102" s="129"/>
      <x:c r="H102" s="129"/>
      <x:c r="I102" s="108"/>
      <x:c r="J102" s="108"/>
      <x:c r="K102" s="108"/>
      <x:c r="L102" s="108"/>
      <x:c r="M102" s="109"/>
    </x:row>
    <x:row r="103" ht="36" customHeight="1">
      <x:c r="A103" s="107"/>
      <x:c r="B103" s="108"/>
      <x:c r="C103" s="108"/>
      <x:c r="D103" s="108"/>
      <x:c r="E103" s="108"/>
      <x:c r="F103" s="108"/>
      <x:c r="G103" s="129"/>
      <x:c r="H103" s="129"/>
      <x:c r="I103" s="108"/>
      <x:c r="J103" s="108"/>
      <x:c r="K103" s="108"/>
      <x:c r="L103" s="108"/>
      <x:c r="M103" s="109"/>
    </x:row>
    <x:row r="104" ht="36" customHeight="1">
      <x:c r="A104" s="107"/>
      <x:c r="B104" s="108"/>
      <x:c r="C104" s="108"/>
      <x:c r="D104" s="108"/>
      <x:c r="E104" s="108"/>
      <x:c r="F104" s="108"/>
      <x:c r="G104" s="129"/>
      <x:c r="H104" s="129"/>
      <x:c r="I104" s="108"/>
      <x:c r="J104" s="108"/>
      <x:c r="K104" s="108"/>
      <x:c r="L104" s="108"/>
      <x:c r="M104" s="109"/>
    </x:row>
    <x:row r="105" ht="36" customHeight="1">
      <x:c r="A105" s="110"/>
      <x:c r="B105" s="111"/>
      <x:c r="C105" s="111"/>
      <x:c r="D105" s="111"/>
      <x:c r="E105" s="111"/>
      <x:c r="F105" s="111"/>
      <x:c r="G105" s="130"/>
      <x:c r="H105" s="130"/>
      <x:c r="I105" s="111"/>
      <x:c r="J105" s="111"/>
      <x:c r="K105" s="111"/>
      <x:c r="L105" s="111"/>
      <x:c r="M105" s="112"/>
    </x:row>
  </x:sheetData>
  <x:mergeCells>
    <x:mergeCell ref="A1:M2"/>
    <x:mergeCell ref="A3:M3"/>
  </x:mergeCells>
  <x:dataValidations count="3">
    <x:dataValidation type="list" sqref="D6:D105">
      <x:formula1>"Critical,High,Medium,Low"</x:formula1>
    </x:dataValidation>
    <x:dataValidation type="list" sqref="E6:E105">
      <x:formula1>"Open,In Progress,Ready for Retest,Closed,Deferred"</x:formula1>
    </x:dataValidation>
    <x:dataValidation type="list" sqref="I6:I105">
      <x:formula1>"Not Retested,Passed,Failed"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10" hidden="0" customWidth="1"/>
    <x:col min="5" max="5" width="34" hidden="0" customWidth="1"/>
    <x:col min="6" max="6" width="15" hidden="0" customWidth="1"/>
    <x:col min="7" max="7" width="26" hidden="0" customWidth="1"/>
    <x:col min="8" max="8" width="26" hidden="0" customWidth="1"/>
  </x:cols>
  <x:sheetData>
    <x:row r="1" ht="30" customHeight="1">
      <x:c r="A1" s="4" t="str">
        <x:v>Agreement Release Checklist</x:v>
      </x:c>
      <x:c r="B1" s="4" t="str">
        <x:v>Agreement Release Checklist</x:v>
      </x:c>
      <x:c r="C1" s="4" t="str">
        <x:v>Agreement Release Checklist</x:v>
      </x:c>
      <x:c r="D1" s="4" t="str">
        <x:v>Agreement Release Checklist</x:v>
      </x:c>
      <x:c r="E1" s="4" t="str">
        <x:v>Agreement Release Checklist</x:v>
      </x:c>
      <x:c r="F1" s="4" t="str">
        <x:v>Agreement Release Checklist</x:v>
      </x:c>
      <x:c r="G1" s="4" t="str">
        <x:v>Agreement Release Checklist</x:v>
      </x:c>
      <x:c r="H1" s="4" t="str">
        <x:v>Agreement Release Checklist</x:v>
      </x:c>
    </x:row>
    <x:row r="2" ht="30" customHeight="1">
      <x:c r="A2" s="4" t="str">
        <x:v>Agreement Release Checklist</x:v>
      </x:c>
      <x:c r="B2" s="4" t="str">
        <x:v>Agreement Release Checklist</x:v>
      </x:c>
      <x:c r="C2" s="4" t="str">
        <x:v>Agreement Release Checklist</x:v>
      </x:c>
      <x:c r="D2" s="4" t="str">
        <x:v>Agreement Release Checklist</x:v>
      </x:c>
      <x:c r="E2" s="4" t="str">
        <x:v>Agreement Release Checklist</x:v>
      </x:c>
      <x:c r="F2" s="4" t="str">
        <x:v>Agreement Release Checklist</x:v>
      </x:c>
      <x:c r="G2" s="4" t="str">
        <x:v>Agreement Release Checklist</x:v>
      </x:c>
      <x:c r="H2" s="4" t="str">
        <x:v>Agreement Release Checklist</x:v>
      </x:c>
    </x:row>
    <x:row r="3">
      <x:c r="A3" s="7" t="str">
        <x:v>Complete every row before release closure. P0 rows cannot be deferred without rejecting the release gate.</x:v>
      </x:c>
      <x:c r="B3" s="7" t="str">
        <x:v>Complete every row before release closure. P0 rows cannot be deferred without rejecting the release gate.</x:v>
      </x:c>
      <x:c r="C3" s="7" t="str">
        <x:v>Complete every row before release closure. P0 rows cannot be deferred without rejecting the release gate.</x:v>
      </x:c>
      <x:c r="D3" s="7" t="str">
        <x:v>Complete every row before release closure. P0 rows cannot be deferred without rejecting the release gate.</x:v>
      </x:c>
      <x:c r="E3" s="7" t="str">
        <x:v>Complete every row before release closure. P0 rows cannot be deferred without rejecting the release gate.</x:v>
      </x:c>
      <x:c r="F3" s="7" t="str">
        <x:v>Complete every row before release closure. P0 rows cannot be deferred without rejecting the release gate.</x:v>
      </x:c>
      <x:c r="G3" s="7" t="str">
        <x:v>Complete every row before release closure. P0 rows cannot be deferred without rejecting the release gate.</x:v>
      </x:c>
      <x:c r="H3" s="7" t="str">
        <x:v>Complete every row before release closure. P0 rows cannot be deferred without rejecting the release gate.</x:v>
      </x:c>
    </x:row>
    <x:row r="5" ht="30" customHeight="1">
      <x:c r="A5" s="14" t="str">
        <x:v>Phase</x:v>
      </x:c>
      <x:c r="B5" s="47" t="str">
        <x:v>Checkpoint</x:v>
      </x:c>
      <x:c r="C5" s="47" t="str">
        <x:v>Owner</x:v>
      </x:c>
      <x:c r="D5" s="47" t="str">
        <x:v>Priority</x:v>
      </x:c>
      <x:c r="E5" s="47" t="str">
        <x:v>Required evidence</x:v>
      </x:c>
      <x:c r="F5" s="47" t="str">
        <x:v>Status</x:v>
      </x:c>
      <x:c r="G5" s="47" t="str">
        <x:v>Evidence reference</x:v>
      </x:c>
      <x:c r="H5" s="15" t="str">
        <x:v>Notes</x:v>
      </x:c>
    </x:row>
    <x:row r="6" ht="42" customHeight="1">
      <x:c r="A6" s="119" t="str">
        <x:v>Pre-UAT</x:v>
      </x:c>
      <x:c r="B6" s="105" t="str">
        <x:v>Record exact Git commit and confirm working tree scope</x:v>
      </x:c>
      <x:c r="C6" s="105" t="str">
        <x:v>Technical lead</x:v>
      </x:c>
      <x:c r="D6" s="105" t="str">
        <x:v>P0</x:v>
      </x:c>
      <x:c r="E6" s="105" t="str">
        <x:v>Commit hash and clean-status capture</x:v>
      </x:c>
      <x:c r="F6" s="105" t="str">
        <x:v>Not Started</x:v>
      </x:c>
      <x:c r="G6" s="105" t="str"/>
      <x:c r="H6" s="106" t="str"/>
    </x:row>
    <x:row r="7" ht="42" customHeight="1">
      <x:c r="A7" s="120" t="str">
        <x:v>Pre-UAT</x:v>
      </x:c>
      <x:c r="B7" s="108" t="str">
        <x:v>Confirm full automated suite is 28 passed / 0 failed</x:v>
      </x:c>
      <x:c r="C7" s="108" t="str">
        <x:v>Technical lead</x:v>
      </x:c>
      <x:c r="D7" s="108" t="str">
        <x:v>P0</x:v>
      </x:c>
      <x:c r="E7" s="108" t="str">
        <x:v>Complete console output</x:v>
      </x:c>
      <x:c r="F7" s="108" t="str">
        <x:v>Not Started</x:v>
      </x:c>
      <x:c r="G7" s="108" t="str"/>
      <x:c r="H7" s="109" t="str"/>
    </x:row>
    <x:row r="8" ht="42" customHeight="1">
      <x:c r="A8" s="120" t="str">
        <x:v>Pre-UAT</x:v>
      </x:c>
      <x:c r="B8" s="108" t="str">
        <x:v>Confirm readiness test passes</x:v>
      </x:c>
      <x:c r="C8" s="108" t="str">
        <x:v>Technical lead</x:v>
      </x:c>
      <x:c r="D8" s="108" t="str">
        <x:v>P0</x:v>
      </x:c>
      <x:c r="E8" s="108" t="str">
        <x:v>Readiness output</x:v>
      </x:c>
      <x:c r="F8" s="108" t="str">
        <x:v>Not Started</x:v>
      </x:c>
      <x:c r="G8" s="108" t="str"/>
      <x:c r="H8" s="109" t="str"/>
    </x:row>
    <x:row r="9" ht="42" customHeight="1">
      <x:c r="A9" s="120" t="str">
        <x:v>Pre-UAT</x:v>
      </x:c>
      <x:c r="B9" s="108" t="str">
        <x:v>Create and verify UAT database backup</x:v>
      </x:c>
      <x:c r="C9" s="108" t="str">
        <x:v>DB administrator</x:v>
      </x:c>
      <x:c r="D9" s="108" t="str">
        <x:v>P0</x:v>
      </x:c>
      <x:c r="E9" s="108" t="str">
        <x:v>Backup path, size, pg_restore --list</x:v>
      </x:c>
      <x:c r="F9" s="108" t="str">
        <x:v>Not Started</x:v>
      </x:c>
      <x:c r="G9" s="108" t="str"/>
      <x:c r="H9" s="109" t="str"/>
    </x:row>
    <x:row r="10" ht="42" customHeight="1">
      <x:c r="A10" s="120" t="str">
        <x:v>Pre-UAT</x:v>
      </x:c>
      <x:c r="B10" s="108" t="str">
        <x:v>Assign UAT actors and witnesses</x:v>
      </x:c>
      <x:c r="C10" s="108" t="str">
        <x:v>Test lead</x:v>
      </x:c>
      <x:c r="D10" s="108" t="str">
        <x:v>P1</x:v>
      </x:c>
      <x:c r="E10" s="108" t="str">
        <x:v>Completed Sign-off and Accounts sheets</x:v>
      </x:c>
      <x:c r="F10" s="108" t="str">
        <x:v>Not Started</x:v>
      </x:c>
      <x:c r="G10" s="108" t="str"/>
      <x:c r="H10" s="109" t="str"/>
    </x:row>
    <x:row r="11" ht="42" customHeight="1">
      <x:c r="A11" s="120" t="str">
        <x:v>Pre-UAT</x:v>
      </x:c>
      <x:c r="B11" s="108" t="str">
        <x:v>Confirm Initiative and notification work are excluded</x:v>
      </x:c>
      <x:c r="C11" s="108" t="str">
        <x:v>Project owner</x:v>
      </x:c>
      <x:c r="D11" s="108" t="str">
        <x:v>P0</x:v>
      </x:c>
      <x:c r="E11" s="108" t="str">
        <x:v>Approved scope record</x:v>
      </x:c>
      <x:c r="F11" s="108" t="str">
        <x:v>Not Started</x:v>
      </x:c>
      <x:c r="G11" s="108" t="str"/>
      <x:c r="H11" s="109" t="str"/>
    </x:row>
    <x:row r="12" ht="42" customHeight="1">
      <x:c r="A12" s="120" t="str">
        <x:v>UAT</x:v>
      </x:c>
      <x:c r="B12" s="108" t="str">
        <x:v>Complete all P0 UAT cases</x:v>
      </x:c>
      <x:c r="C12" s="108" t="str">
        <x:v>Test lead</x:v>
      </x:c>
      <x:c r="D12" s="108" t="str">
        <x:v>P0</x:v>
      </x:c>
      <x:c r="E12" s="108" t="str">
        <x:v>UAT Cases sheet and evidence</x:v>
      </x:c>
      <x:c r="F12" s="108" t="str">
        <x:v>Not Started</x:v>
      </x:c>
      <x:c r="G12" s="108" t="str"/>
      <x:c r="H12" s="109" t="str"/>
    </x:row>
    <x:row r="13" ht="42" customHeight="1">
      <x:c r="A13" s="120" t="str">
        <x:v>UAT</x:v>
      </x:c>
      <x:c r="B13" s="108" t="str">
        <x:v>Complete all P1 UAT cases</x:v>
      </x:c>
      <x:c r="C13" s="108" t="str">
        <x:v>Test lead</x:v>
      </x:c>
      <x:c r="D13" s="108" t="str">
        <x:v>P1</x:v>
      </x:c>
      <x:c r="E13" s="108" t="str">
        <x:v>UAT Cases sheet and evidence</x:v>
      </x:c>
      <x:c r="F13" s="108" t="str">
        <x:v>Not Started</x:v>
      </x:c>
      <x:c r="G13" s="108" t="str"/>
      <x:c r="H13" s="109" t="str"/>
    </x:row>
    <x:row r="14" ht="42" customHeight="1">
      <x:c r="A14" s="120" t="str">
        <x:v>UAT</x:v>
      </x:c>
      <x:c r="B14" s="108" t="str">
        <x:v>Resolve or approve deferral for every defect</x:v>
      </x:c>
      <x:c r="C14" s="108" t="str">
        <x:v>Project owner</x:v>
      </x:c>
      <x:c r="D14" s="108" t="str">
        <x:v>P0</x:v>
      </x:c>
      <x:c r="E14" s="108" t="str">
        <x:v>Defects sheet</x:v>
      </x:c>
      <x:c r="F14" s="108" t="str">
        <x:v>Not Started</x:v>
      </x:c>
      <x:c r="G14" s="108" t="str"/>
      <x:c r="H14" s="109" t="str"/>
    </x:row>
    <x:row r="15" ht="42" customHeight="1">
      <x:c r="A15" s="120" t="str">
        <x:v>UAT</x:v>
      </x:c>
      <x:c r="B15" s="108" t="str">
        <x:v>Re-run full automated suite after final defect fix</x:v>
      </x:c>
      <x:c r="C15" s="108" t="str">
        <x:v>Technical lead</x:v>
      </x:c>
      <x:c r="D15" s="108" t="str">
        <x:v>P0</x:v>
      </x:c>
      <x:c r="E15" s="108" t="str">
        <x:v>28/28 output on final commit</x:v>
      </x:c>
      <x:c r="F15" s="108" t="str">
        <x:v>Not Started</x:v>
      </x:c>
      <x:c r="G15" s="108" t="str"/>
      <x:c r="H15" s="109" t="str"/>
    </x:row>
    <x:row r="16" ht="42" customHeight="1">
      <x:c r="A16" s="120" t="str">
        <x:v>Recovery</x:v>
      </x:c>
      <x:c r="B16" s="108" t="str">
        <x:v>Rehearse database restore to a disposable database</x:v>
      </x:c>
      <x:c r="C16" s="108" t="str">
        <x:v>DB administrator</x:v>
      </x:c>
      <x:c r="D16" s="108" t="str">
        <x:v>P0</x:v>
      </x:c>
      <x:c r="E16" s="108" t="str">
        <x:v>Restore command and verification</x:v>
      </x:c>
      <x:c r="F16" s="108" t="str">
        <x:v>Not Started</x:v>
      </x:c>
      <x:c r="G16" s="108" t="str"/>
      <x:c r="H16" s="109" t="str"/>
    </x:row>
    <x:row r="17" ht="42" customHeight="1">
      <x:c r="A17" s="120" t="str">
        <x:v>Recovery</x:v>
      </x:c>
      <x:c r="B17" s="108" t="str">
        <x:v>Verify private-document backup and matching restore point</x:v>
      </x:c>
      <x:c r="C17" s="108" t="str">
        <x:v>Technical lead</x:v>
      </x:c>
      <x:c r="D17" s="108" t="str">
        <x:v>P0</x:v>
      </x:c>
      <x:c r="E17" s="108" t="str">
        <x:v>File inventory/checksum evidence</x:v>
      </x:c>
      <x:c r="F17" s="108" t="str">
        <x:v>Not Started</x:v>
      </x:c>
      <x:c r="G17" s="108" t="str"/>
      <x:c r="H17" s="109" t="str"/>
    </x:row>
    <x:row r="18" ht="42" customHeight="1">
      <x:c r="A18" s="120" t="str">
        <x:v>Recovery</x:v>
      </x:c>
      <x:c r="B18" s="108" t="str">
        <x:v>Confirm rollback owner and decision authority</x:v>
      </x:c>
      <x:c r="C18" s="108" t="str">
        <x:v>Release manager</x:v>
      </x:c>
      <x:c r="D18" s="108" t="str">
        <x:v>P0</x:v>
      </x:c>
      <x:c r="E18" s="108" t="str">
        <x:v>Named owner in sign-off</x:v>
      </x:c>
      <x:c r="F18" s="108" t="str">
        <x:v>Not Started</x:v>
      </x:c>
      <x:c r="G18" s="108" t="str"/>
      <x:c r="H18" s="109" t="str"/>
    </x:row>
    <x:row r="19" ht="42" customHeight="1">
      <x:c r="A19" s="120" t="str">
        <x:v>Release</x:v>
      </x:c>
      <x:c r="B19" s="108" t="str">
        <x:v>Approve release candidate commit/tag</x:v>
      </x:c>
      <x:c r="C19" s="108" t="str">
        <x:v>Project owner</x:v>
      </x:c>
      <x:c r="D19" s="108" t="str">
        <x:v>P0</x:v>
      </x:c>
      <x:c r="E19" s="108" t="str">
        <x:v>Signed decision</x:v>
      </x:c>
      <x:c r="F19" s="108" t="str">
        <x:v>Not Started</x:v>
      </x:c>
      <x:c r="G19" s="108" t="str"/>
      <x:c r="H19" s="109" t="str"/>
    </x:row>
    <x:row r="20" ht="42" customHeight="1">
      <x:c r="A20" s="120" t="str">
        <x:v>Release</x:v>
      </x:c>
      <x:c r="B20" s="108" t="str">
        <x:v>Verify local database secret and private files are not staged</x:v>
      </x:c>
      <x:c r="C20" s="108" t="str">
        <x:v>Technical lead</x:v>
      </x:c>
      <x:c r="D20" s="108" t="str">
        <x:v>P0</x:v>
      </x:c>
      <x:c r="E20" s="108" t="str">
        <x:v>git check-ignore and staged-file list</x:v>
      </x:c>
      <x:c r="F20" s="108" t="str">
        <x:v>Not Started</x:v>
      </x:c>
      <x:c r="G20" s="108" t="str"/>
      <x:c r="H20" s="109" t="str"/>
    </x:row>
    <x:row r="21" ht="42" customHeight="1">
      <x:c r="A21" s="120" t="str">
        <x:v>Release</x:v>
      </x:c>
      <x:c r="B21" s="108" t="str">
        <x:v>Pause Agreement scheduled jobs</x:v>
      </x:c>
      <x:c r="C21" s="108" t="str">
        <x:v>Release operator</x:v>
      </x:c>
      <x:c r="D21" s="108" t="str">
        <x:v>P1</x:v>
      </x:c>
      <x:c r="E21" s="108" t="str">
        <x:v>Task Scheduler status</x:v>
      </x:c>
      <x:c r="F21" s="108" t="str">
        <x:v>Not Started</x:v>
      </x:c>
      <x:c r="G21" s="108" t="str"/>
      <x:c r="H21" s="109" t="str"/>
    </x:row>
    <x:row r="22" ht="42" customHeight="1">
      <x:c r="A22" s="120" t="str">
        <x:v>Release</x:v>
      </x:c>
      <x:c r="B22" s="108" t="str">
        <x:v>Take and verify fresh production backups</x:v>
      </x:c>
      <x:c r="C22" s="108" t="str">
        <x:v>DB administrator</x:v>
      </x:c>
      <x:c r="D22" s="108" t="str">
        <x:v>P0</x:v>
      </x:c>
      <x:c r="E22" s="108" t="str">
        <x:v>Database and private-file backup evidence</x:v>
      </x:c>
      <x:c r="F22" s="108" t="str">
        <x:v>Not Started</x:v>
      </x:c>
      <x:c r="G22" s="108" t="str"/>
      <x:c r="H22" s="109" t="str"/>
    </x:row>
    <x:row r="23" ht="42" customHeight="1">
      <x:c r="A23" s="120" t="str">
        <x:v>Release</x:v>
      </x:c>
      <x:c r="B23" s="108" t="str">
        <x:v>Deploy exact approved commit and pending migrations only</x:v>
      </x:c>
      <x:c r="C23" s="108" t="str">
        <x:v>Release operator</x:v>
      </x:c>
      <x:c r="D23" s="108" t="str">
        <x:v>P0</x:v>
      </x:c>
      <x:c r="E23" s="108" t="str">
        <x:v>Deployment/migration log</x:v>
      </x:c>
      <x:c r="F23" s="108" t="str">
        <x:v>Not Started</x:v>
      </x:c>
      <x:c r="G23" s="108" t="str"/>
      <x:c r="H23" s="109" t="str"/>
    </x:row>
    <x:row r="24" ht="42" customHeight="1">
      <x:c r="A24" s="120" t="str">
        <x:v>Post-release</x:v>
      </x:c>
      <x:c r="B24" s="108" t="str">
        <x:v>Run read-only production readiness test</x:v>
      </x:c>
      <x:c r="C24" s="108" t="str">
        <x:v>Technical lead</x:v>
      </x:c>
      <x:c r="D24" s="108" t="str">
        <x:v>P0</x:v>
      </x:c>
      <x:c r="E24" s="108" t="str">
        <x:v>Passing readiness output</x:v>
      </x:c>
      <x:c r="F24" s="108" t="str">
        <x:v>Not Started</x:v>
      </x:c>
      <x:c r="G24" s="108" t="str"/>
      <x:c r="H24" s="109" t="str"/>
    </x:row>
    <x:row r="25" ht="42" customHeight="1">
      <x:c r="A25" s="120" t="str">
        <x:v>Post-release</x:v>
      </x:c>
      <x:c r="B25" s="108" t="str">
        <x:v>Complete focused authorized browser smoke checks</x:v>
      </x:c>
      <x:c r="C25" s="108" t="str">
        <x:v>Test lead</x:v>
      </x:c>
      <x:c r="D25" s="108" t="str">
        <x:v>P0</x:v>
      </x:c>
      <x:c r="E25" s="108" t="str">
        <x:v>Screenshots/results</x:v>
      </x:c>
      <x:c r="F25" s="108" t="str">
        <x:v>Not Started</x:v>
      </x:c>
      <x:c r="G25" s="108" t="str"/>
      <x:c r="H25" s="109" t="str"/>
    </x:row>
    <x:row r="26" ht="42" customHeight="1">
      <x:c r="A26" s="120" t="str">
        <x:v>Post-release</x:v>
      </x:c>
      <x:c r="B26" s="108" t="str">
        <x:v>Verify public allow-list and private document protection</x:v>
      </x:c>
      <x:c r="C26" s="108" t="str">
        <x:v>Security witness</x:v>
      </x:c>
      <x:c r="D26" s="108" t="str">
        <x:v>P0</x:v>
      </x:c>
      <x:c r="E26" s="108" t="str">
        <x:v>Public/private access evidence</x:v>
      </x:c>
      <x:c r="F26" s="108" t="str">
        <x:v>Not Started</x:v>
      </x:c>
      <x:c r="G26" s="108" t="str"/>
      <x:c r="H26" s="109" t="str"/>
    </x:row>
    <x:row r="27" ht="42" customHeight="1">
      <x:c r="A27" s="120" t="str">
        <x:v>Post-release</x:v>
      </x:c>
      <x:c r="B27" s="108" t="str">
        <x:v>Resume and manually verify both Agreement scheduled jobs</x:v>
      </x:c>
      <x:c r="C27" s="108" t="str">
        <x:v>Release operator</x:v>
      </x:c>
      <x:c r="D27" s="108" t="str">
        <x:v>P1</x:v>
      </x:c>
      <x:c r="E27" s="108" t="str">
        <x:v>Job output and scheduler status</x:v>
      </x:c>
      <x:c r="F27" s="108" t="str">
        <x:v>Not Started</x:v>
      </x:c>
      <x:c r="G27" s="108" t="str"/>
      <x:c r="H27" s="109" t="str"/>
    </x:row>
    <x:row r="28" ht="42" customHeight="1">
      <x:c r="A28" s="121" t="str">
        <x:v>Post-release</x:v>
      </x:c>
      <x:c r="B28" s="111" t="str">
        <x:v>Record production decision and observation result</x:v>
      </x:c>
      <x:c r="C28" s="111" t="str">
        <x:v>Release manager</x:v>
      </x:c>
      <x:c r="D28" s="111" t="str">
        <x:v>P1</x:v>
      </x:c>
      <x:c r="E28" s="111" t="str">
        <x:v>Completed sign-off/closure</x:v>
      </x:c>
      <x:c r="F28" s="111" t="str">
        <x:v>Not Started</x:v>
      </x:c>
      <x:c r="G28" s="111" t="str"/>
      <x:c r="H28" s="112" t="str"/>
    </x:row>
  </x:sheetData>
  <x:mergeCells>
    <x:mergeCell ref="A1:H2"/>
    <x:mergeCell ref="A3:H3"/>
  </x:mergeCells>
  <x:conditionalFormatting sqref="F6:F28">
    <x:cfRule type="expression" dxfId="8" priority="1">
      <x:formula>$F6="Passed"</x:formula>
    </x:cfRule>
    <x:cfRule type="expression" dxfId="9" priority="2">
      <x:formula>$F6="Failed"</x:formula>
    </x:cfRule>
    <x:cfRule type="expression" dxfId="10" priority="3">
      <x:formula>$F6="Blocked"</x:formula>
    </x:cfRule>
    <x:cfRule type="expression" dxfId="11" priority="4">
      <x:formula>$F6="In Progress"</x:formula>
    </x:cfRule>
    <x:cfRule type="expression" dxfId="12" priority="5">
      <x:formula>$F6="Deferred"</x:formula>
    </x:cfRule>
    <x:cfRule type="expression" dxfId="13" priority="6">
      <x:formula>$F6="Not Run"</x:formula>
    </x:cfRule>
    <x:cfRule type="expression" dxfId="14" priority="7">
      <x:formula>$F6="Complete"</x:formula>
    </x:cfRule>
    <x:cfRule type="expression" dxfId="15" priority="8">
      <x:formula>$F6="Not Started"</x:formula>
    </x:cfRule>
  </x:conditionalFormatting>
  <x:dataValidations count="2">
    <x:dataValidation type="list" sqref="D6:D28">
      <x:formula1>"P0,P1,P2"</x:formula1>
    </x:dataValidation>
    <x:dataValidation type="list" sqref="F6:F28">
      <x:formula1>"Not Started,In Progress,Complete,Blocked,Deferred"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14" hidden="0" customWidth="1"/>
    <x:col min="5" max="5" width="48" hidden="0" customWidth="1"/>
  </x:cols>
  <x:sheetData>
    <x:row r="1" ht="30" customHeight="1">
      <x:c r="A1" s="4" t="str">
        <x:v>Agreement Release Sign-off</x:v>
      </x:c>
      <x:c r="B1" s="4" t="str">
        <x:v>Agreement Release Sign-off</x:v>
      </x:c>
      <x:c r="C1" s="4" t="str">
        <x:v>Agreement Release Sign-off</x:v>
      </x:c>
      <x:c r="D1" s="4" t="str">
        <x:v>Agreement Release Sign-off</x:v>
      </x:c>
      <x:c r="E1" s="4" t="str">
        <x:v>Agreement Release Sign-off</x:v>
      </x:c>
    </x:row>
    <x:row r="2" ht="30" customHeight="1">
      <x:c r="A2" s="4" t="str">
        <x:v>Agreement Release Sign-off</x:v>
      </x:c>
      <x:c r="B2" s="4" t="str">
        <x:v>Agreement Release Sign-off</x:v>
      </x:c>
      <x:c r="C2" s="4" t="str">
        <x:v>Agreement Release Sign-off</x:v>
      </x:c>
      <x:c r="D2" s="4" t="str">
        <x:v>Agreement Release Sign-off</x:v>
      </x:c>
      <x:c r="E2" s="4" t="str">
        <x:v>Agreement Release Sign-off</x:v>
      </x:c>
    </x:row>
    <x:row r="3">
      <x:c r="A3" s="7" t="str">
        <x:v>Decision options: Approved, Approved with conditions, Rejected. Pending is not a release approval.</x:v>
      </x:c>
      <x:c r="B3" s="7" t="str">
        <x:v>Decision options: Approved, Approved with conditions, Rejected. Pending is not a release approval.</x:v>
      </x:c>
      <x:c r="C3" s="7" t="str">
        <x:v>Decision options: Approved, Approved with conditions, Rejected. Pending is not a release approval.</x:v>
      </x:c>
      <x:c r="D3" s="7" t="str">
        <x:v>Decision options: Approved, Approved with conditions, Rejected. Pending is not a release approval.</x:v>
      </x:c>
      <x:c r="E3" s="7" t="str">
        <x:v>Decision options: Approved, Approved with conditions, Rejected. Pending is not a release approval.</x:v>
      </x:c>
    </x:row>
    <x:row r="5" ht="30" customHeight="1">
      <x:c r="A5" s="14" t="str">
        <x:v>Responsibility</x:v>
      </x:c>
      <x:c r="B5" s="47" t="str">
        <x:v>Name</x:v>
      </x:c>
      <x:c r="C5" s="47" t="str">
        <x:v>Decision</x:v>
      </x:c>
      <x:c r="D5" s="47" t="str">
        <x:v>Date</x:v>
      </x:c>
      <x:c r="E5" s="15" t="str">
        <x:v>Comments / conditions</x:v>
      </x:c>
    </x:row>
    <x:row r="6" ht="34" customHeight="1">
      <x:c r="A6" s="119" t="str">
        <x:v>Agreement process owner</x:v>
      </x:c>
      <x:c r="B6" s="105" t="str"/>
      <x:c r="C6" s="105" t="str">
        <x:v>Pending</x:v>
      </x:c>
      <x:c r="D6" s="128"/>
      <x:c r="E6" s="106" t="str"/>
    </x:row>
    <x:row r="7" ht="34" customHeight="1">
      <x:c r="A7" s="120" t="str">
        <x:v>Vice President Office representative</x:v>
      </x:c>
      <x:c r="B7" s="108" t="str"/>
      <x:c r="C7" s="108" t="str">
        <x:v>Pending</x:v>
      </x:c>
      <x:c r="D7" s="129"/>
      <x:c r="E7" s="109" t="str"/>
    </x:row>
    <x:row r="8" ht="34" customHeight="1">
      <x:c r="A8" s="120" t="str">
        <x:v>Legal Office representative</x:v>
      </x:c>
      <x:c r="B8" s="108" t="str"/>
      <x:c r="C8" s="108" t="str">
        <x:v>Pending</x:v>
      </x:c>
      <x:c r="D8" s="129"/>
      <x:c r="E8" s="109" t="str"/>
    </x:row>
    <x:row r="9" ht="34" customHeight="1">
      <x:c r="A9" s="120" t="str">
        <x:v>Finance Office representative</x:v>
      </x:c>
      <x:c r="B9" s="108" t="str"/>
      <x:c r="C9" s="108" t="str">
        <x:v>Pending</x:v>
      </x:c>
      <x:c r="D9" s="129"/>
      <x:c r="E9" s="109" t="str"/>
    </x:row>
    <x:row r="10" ht="34" customHeight="1">
      <x:c r="A10" s="120" t="str">
        <x:v>President Office representative</x:v>
      </x:c>
      <x:c r="B10" s="108" t="str"/>
      <x:c r="C10" s="108" t="str">
        <x:v>Pending</x:v>
      </x:c>
      <x:c r="D10" s="129"/>
      <x:c r="E10" s="109" t="str"/>
    </x:row>
    <x:row r="11" ht="34" customHeight="1">
      <x:c r="A11" s="121" t="str">
        <x:v>Technical lead / release manager</x:v>
      </x:c>
      <x:c r="B11" s="111" t="str"/>
      <x:c r="C11" s="111" t="str">
        <x:v>Pending</x:v>
      </x:c>
      <x:c r="D11" s="130"/>
      <x:c r="E11" s="112" t="str"/>
    </x:row>
    <x:row r="13">
      <x:c r="A13" s="131" t="str">
        <x:v>Final release decision</x:v>
      </x:c>
      <x:c r="B13" s="18" t="str">
        <x:v>Pending</x:v>
      </x:c>
    </x:row>
    <x:row r="14">
      <x:c r="A14" s="132" t="str">
        <x:v>Decision date</x:v>
      </x:c>
      <x:c r="B14" s="53"/>
    </x:row>
    <x:row r="15">
      <x:c r="A15" s="132" t="str">
        <x:v>Release manager</x:v>
      </x:c>
      <x:c r="B15" s="20" t="str"/>
    </x:row>
    <x:row r="16">
      <x:c r="A16" s="132" t="str">
        <x:v>Rollback owner</x:v>
      </x:c>
      <x:c r="B16" s="20" t="str"/>
    </x:row>
    <x:row r="17">
      <x:c r="A17" s="132" t="str">
        <x:v>Conditions / rejection reason</x:v>
      </x:c>
      <x:c r="B17" s="20" t="str"/>
    </x:row>
    <x:row r="18">
      <x:c r="A18" s="133" t="str">
        <x:v>Observation period result</x:v>
      </x:c>
      <x:c r="B18" s="23" t="str"/>
    </x:row>
  </x:sheetData>
  <x:mergeCells>
    <x:mergeCell ref="A1:E2"/>
    <x:mergeCell ref="A3:E3"/>
  </x:mergeCells>
  <x:dataValidations count="2">
    <x:dataValidation type="list" sqref="C6:C11">
      <x:formula1>"Pending,Approved,Approved with conditions,Rejected"</x:formula1>
    </x:dataValidation>
    <x:dataValidation type="list" sqref="B13">
      <x:formula1>"Pending,Approved,Approved with conditions,Rejected"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0" hidden="0" customWidth="1"/>
    <x:col min="4" max="4" width="14" hidden="0" customWidth="1"/>
    <x:col min="5" max="5" width="42" hidden="0" customWidth="1"/>
    <x:col min="6" max="6" width="24" hidden="0" customWidth="1"/>
  </x:cols>
  <x:sheetData>
    <x:row r="1" ht="30" customHeight="1">
      <x:c r="A1" s="4" t="str">
        <x:v>UAT Environment &amp; Development Accounts</x:v>
      </x:c>
      <x:c r="B1" s="4" t="str">
        <x:v>UAT Environment &amp; Development Accounts</x:v>
      </x:c>
      <x:c r="C1" s="4" t="str">
        <x:v>UAT Environment &amp; Development Accounts</x:v>
      </x:c>
      <x:c r="D1" s="4" t="str">
        <x:v>UAT Environment &amp; Development Accounts</x:v>
      </x:c>
      <x:c r="E1" s="4" t="str">
        <x:v>UAT Environment &amp; Development Accounts</x:v>
      </x:c>
      <x:c r="F1" s="4" t="str">
        <x:v>UAT Environment &amp; Development Accounts</x:v>
      </x:c>
    </x:row>
    <x:row r="2" ht="30" customHeight="1">
      <x:c r="A2" s="4" t="str">
        <x:v>UAT Environment &amp; Development Accounts</x:v>
      </x:c>
      <x:c r="B2" s="4" t="str">
        <x:v>UAT Environment &amp; Development Accounts</x:v>
      </x:c>
      <x:c r="C2" s="4" t="str">
        <x:v>UAT Environment &amp; Development Accounts</x:v>
      </x:c>
      <x:c r="D2" s="4" t="str">
        <x:v>UAT Environment &amp; Development Accounts</x:v>
      </x:c>
      <x:c r="E2" s="4" t="str">
        <x:v>UAT Environment &amp; Development Accounts</x:v>
      </x:c>
      <x:c r="F2" s="4" t="str">
        <x:v>UAT Environment &amp; Development Accounts</x:v>
      </x:c>
    </x:row>
    <x:row r="3">
      <x:c r="A3" s="136" t="str">
        <x:v>Never record passwords in this workbook. Development credentials are defined in seed_dev.sql and must never be used in production.</x:v>
      </x:c>
      <x:c r="B3" s="136" t="str">
        <x:v>Never record passwords in this workbook. Development credentials are defined in seed_dev.sql and must never be used in production.</x:v>
      </x:c>
      <x:c r="C3" s="136" t="str">
        <x:v>Never record passwords in this workbook. Development credentials are defined in seed_dev.sql and must never be used in production.</x:v>
      </x:c>
      <x:c r="D3" s="136" t="str">
        <x:v>Never record passwords in this workbook. Development credentials are defined in seed_dev.sql and must never be used in production.</x:v>
      </x:c>
      <x:c r="E3" s="136" t="str">
        <x:v>Never record passwords in this workbook. Development credentials are defined in seed_dev.sql and must never be used in production.</x:v>
      </x:c>
      <x:c r="F3" s="136" t="str">
        <x:v>Never record passwords in this workbook. Development credentials are defined in seed_dev.sql and must never be used in production.</x:v>
      </x:c>
    </x:row>
    <x:row r="5" ht="30" customHeight="1">
      <x:c r="A5" s="14" t="str">
        <x:v>Environment field</x:v>
      </x:c>
      <x:c r="B5" s="15" t="str">
        <x:v>Value</x:v>
      </x:c>
    </x:row>
    <x:row r="6">
      <x:c r="A6" s="50" t="str">
        <x:v>Environment name</x:v>
      </x:c>
      <x:c r="B6" s="18" t="str"/>
    </x:row>
    <x:row r="7">
      <x:c r="A7" s="51" t="str">
        <x:v>Base URL</x:v>
      </x:c>
      <x:c r="B7" s="20" t="str"/>
    </x:row>
    <x:row r="8">
      <x:c r="A8" s="51" t="str">
        <x:v>Database name</x:v>
      </x:c>
      <x:c r="B8" s="20" t="str"/>
    </x:row>
    <x:row r="9">
      <x:c r="A9" s="51" t="str">
        <x:v>Git commit</x:v>
      </x:c>
      <x:c r="B9" s="20" t="str"/>
    </x:row>
    <x:row r="10">
      <x:c r="A10" s="51" t="str">
        <x:v>Git tag</x:v>
      </x:c>
      <x:c r="B10" s="20" t="str"/>
    </x:row>
    <x:row r="11">
      <x:c r="A11" s="51" t="str">
        <x:v>PHP version</x:v>
      </x:c>
      <x:c r="B11" s="20" t="str"/>
    </x:row>
    <x:row r="12">
      <x:c r="A12" s="51" t="str">
        <x:v>PostgreSQL version</x:v>
      </x:c>
      <x:c r="B12" s="20" t="str"/>
    </x:row>
    <x:row r="13">
      <x:c r="A13" s="51" t="str">
        <x:v>Apache/XAMPP version</x:v>
      </x:c>
      <x:c r="B13" s="20" t="str"/>
    </x:row>
    <x:row r="14">
      <x:c r="A14" s="51" t="str">
        <x:v>Browser/version</x:v>
      </x:c>
      <x:c r="B14" s="20" t="str"/>
    </x:row>
    <x:row r="15">
      <x:c r="A15" s="52" t="str">
        <x:v>Timezone</x:v>
      </x:c>
      <x:c r="B15" s="23" t="str">
        <x:v>Asia/Bahrain</x:v>
      </x:c>
    </x:row>
    <x:row r="18" ht="30" customHeight="1">
      <x:c r="A18" s="14" t="str">
        <x:v>Actor</x:v>
      </x:c>
      <x:c r="B18" s="47" t="str">
        <x:v>Development email</x:v>
      </x:c>
      <x:c r="C18" s="47" t="str">
        <x:v>Role</x:v>
      </x:c>
      <x:c r="D18" s="47" t="str">
        <x:v>Unit</x:v>
      </x:c>
      <x:c r="E18" s="47" t="str">
        <x:v>UAT responsibility</x:v>
      </x:c>
      <x:c r="F18" s="15" t="str">
        <x:v>Assigned tester</x:v>
      </x:c>
    </x:row>
    <x:row r="19" ht="38" customHeight="1">
      <x:c r="A19" s="119" t="str">
        <x:v>System administrator</x:v>
      </x:c>
      <x:c r="B19" s="105" t="str">
        <x:v>dev.admin@uob.test</x:v>
      </x:c>
      <x:c r="C19" s="105" t="str">
        <x:v>System Administrator</x:v>
      </x:c>
      <x:c r="D19" s="105" t="str">
        <x:v>UOB</x:v>
      </x:c>
      <x:c r="E19" s="105" t="str">
        <x:v>Readiness, support, controlled recovery</x:v>
      </x:c>
      <x:c r="F19" s="106" t="str"/>
    </x:row>
    <x:row r="20" ht="38" customHeight="1">
      <x:c r="A20" s="120" t="str">
        <x:v>President</x:v>
      </x:c>
      <x:c r="B20" s="108" t="str">
        <x:v>dev.president@uob.test</x:v>
      </x:c>
      <x:c r="C20" s="108" t="str">
        <x:v>Agreement Creator + Approver</x:v>
      </x:c>
      <x:c r="D20" s="108" t="str">
        <x:v>PRES</x:v>
      </x:c>
      <x:c r="E20" s="108" t="str">
        <x:v>Final decisions</x:v>
      </x:c>
      <x:c r="F20" s="109" t="str"/>
    </x:row>
    <x:row r="21" ht="38" customHeight="1">
      <x:c r="A21" s="120" t="str">
        <x:v>Vice President</x:v>
      </x:c>
      <x:c r="B21" s="108" t="str">
        <x:v>dev.vp@uob.test</x:v>
      </x:c>
      <x:c r="C21" s="108" t="str">
        <x:v>Agreement Creator + Approver</x:v>
      </x:c>
      <x:c r="D21" s="108" t="str">
        <x:v>VP</x:v>
      </x:c>
      <x:c r="E21" s="108" t="str">
        <x:v>Initial review, mediation, final review</x:v>
      </x:c>
      <x:c r="F21" s="109" t="str"/>
    </x:row>
    <x:row r="22" ht="38" customHeight="1">
      <x:c r="A22" s="120" t="str">
        <x:v>Dean</x:v>
      </x:c>
      <x:c r="B22" s="108" t="str">
        <x:v>dev.dean@uob.test</x:v>
      </x:c>
      <x:c r="C22" s="108" t="str">
        <x:v>Agreement Creator</x:v>
      </x:c>
      <x:c r="D22" s="108" t="str">
        <x:v>CIT</x:v>
      </x:c>
      <x:c r="E22" s="108" t="str">
        <x:v>Create, submit, redraft, sign, report</x:v>
      </x:c>
      <x:c r="F22" s="109" t="str"/>
    </x:row>
    <x:row r="23" ht="38" customHeight="1">
      <x:c r="A23" s="120" t="str">
        <x:v>Legal reviewer</x:v>
      </x:c>
      <x:c r="B23" s="108" t="str">
        <x:v>dev.legal@uob.test</x:v>
      </x:c>
      <x:c r="C23" s="108" t="str">
        <x:v>Agreement Approver</x:v>
      </x:c>
      <x:c r="D23" s="108" t="str">
        <x:v>LEGAL</x:v>
      </x:c>
      <x:c r="E23" s="108" t="str">
        <x:v>Legal review</x:v>
      </x:c>
      <x:c r="F23" s="109" t="str"/>
    </x:row>
    <x:row r="24" ht="38" customHeight="1">
      <x:c r="A24" s="121" t="str">
        <x:v>Finance reviewer</x:v>
      </x:c>
      <x:c r="B24" s="111" t="str">
        <x:v>dev.finance@uob.test</x:v>
      </x:c>
      <x:c r="C24" s="111" t="str">
        <x:v>Agreement Approver</x:v>
      </x:c>
      <x:c r="D24" s="111" t="str">
        <x:v>FIN</x:v>
      </x:c>
      <x:c r="E24" s="111" t="str">
        <x:v>Optional Finance review</x:v>
      </x:c>
      <x:c r="F24" s="112" t="str"/>
    </x:row>
  </x:sheetData>
  <x:mergeCells>
    <x:mergeCell ref="A1:F2"/>
    <x:mergeCell ref="A3:F3"/>
  </x:mergeCells>
  <x:pageMargins left="0.7" right="0.7" top="0.75" bottom="0.75" header="0.3" footer="0.3"/>
</x:worksheet>
</file>